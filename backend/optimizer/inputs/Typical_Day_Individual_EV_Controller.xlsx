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007fa6968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d62231317c4851"/>
  </x:sheets>
</x:workbook>
</file>

<file path=xl/sharedStrings.xml><?xml version="1.0" encoding="utf-8"?>
<x:sst xmlns:x="http://schemas.openxmlformats.org/spreadsheetml/2006/main">
  <x:si>
    <x:t xml:space="preserve">Source_Cohort</x:t>
  </x:si>
  <x:si>
    <x:t xml:space="preserve">Overall_EV_No</x:t>
  </x:si>
  <x:si>
    <x:t xml:space="preserve">Controller_EV_ID</x:t>
  </x:si>
  <x:si>
    <x:t xml:space="preserve">EV_Notation</x:t>
  </x:si>
  <x:si>
    <x:t xml:space="preserve">User_Type</x:t>
  </x:si>
  <x:si>
    <x:t xml:space="preserve">User_Type_Description</x:t>
  </x:si>
  <x:si>
    <x:t xml:space="preserve">Type_EV_No</x:t>
  </x:si>
  <x:si>
    <x:t xml:space="preserve">Queue_Priority</x:t>
  </x:si>
  <x:si>
    <x:t xml:space="preserve">Arrival_Rate_Lambda_EV_per_day</x:t>
  </x:si>
  <x:si>
    <x:t xml:space="preserve">Arrival_Hour_Probability</x:t>
  </x:si>
  <x:si>
    <x:t xml:space="preserve">Arrival_Day_Offset</x:t>
  </x:si>
  <x:si>
    <x:t xml:space="preserve">Arrival_Time</x:t>
  </x:si>
  <x:si>
    <x:t xml:space="preserve">Arrival_Minute</x:t>
  </x:si>
  <x:si>
    <x:t xml:space="preserve">Original_Arrival_15min_Slot</x:t>
  </x:si>
  <x:si>
    <x:t xml:space="preserve">Battery_Capacity_kWh</x:t>
  </x:si>
  <x:si>
    <x:t xml:space="preserve">Initial_SOC_pct</x:t>
  </x:si>
  <x:si>
    <x:t xml:space="preserve">SOC_at_Typical_Day_00pct</x:t>
  </x:si>
  <x:si>
    <x:t xml:space="preserve">Target_SOC_pct</x:t>
  </x:si>
  <x:si>
    <x:t xml:space="preserve">Requested_Battery_Energy_kWh</x:t>
  </x:si>
  <x:si>
    <x:t xml:space="preserve">Controller_Required_Energy_at_00_kWh</x:t>
  </x:si>
  <x:si>
    <x:t xml:space="preserve">Nominal_Grid_Energy_at_92_5pct</x:t>
  </x:si>
  <x:si>
    <x:t xml:space="preserve">EV_Max_Charging_Power_kW</x:t>
  </x:si>
  <x:si>
    <x:t xml:space="preserve">Controller_Power_Limit_kW</x:t>
  </x:si>
  <x:si>
    <x:t xml:space="preserve">Session_Efficiency_pct</x:t>
  </x:si>
  <x:si>
    <x:t xml:space="preserve">Active_Chargers_Before_Arrival</x:t>
  </x:si>
  <x:si>
    <x:t xml:space="preserve">Queue_Length_Before_Arrival</x:t>
  </x:si>
  <x:si>
    <x:t xml:space="preserve">Initial_Queue_Position</x:t>
  </x:si>
  <x:si>
    <x:t xml:space="preserve">State_at_Typical_Day_00</x:t>
  </x:si>
  <x:si>
    <x:t xml:space="preserve">Queue_Position_at_Typical_Day_00</x:t>
  </x:si>
  <x:si>
    <x:t xml:space="preserve">Charger_at_Typical_Day_00</x:t>
  </x:si>
  <x:si>
    <x:t xml:space="preserve">Admission_Status</x:t>
  </x:si>
  <x:si>
    <x:t xml:space="preserve">Assigned_Charger</x:t>
  </x:si>
  <x:si>
    <x:t xml:space="preserve">Charging_Start_Day_Offset</x:t>
  </x:si>
  <x:si>
    <x:t xml:space="preserve">Charging_Start_Time</x:t>
  </x:si>
  <x:si>
    <x:t xml:space="preserve">Charging_Start_15min_Slot</x:t>
  </x:si>
  <x:si>
    <x:t xml:space="preserve">Waiting_Time_min</x:t>
  </x:si>
  <x:si>
    <x:t xml:space="preserve">Completion_Status</x:t>
  </x:si>
  <x:si>
    <x:t xml:space="preserve">Completion_Day_Offset</x:t>
  </x:si>
  <x:si>
    <x:t xml:space="preserve">Completion_Time</x:t>
  </x:si>
  <x:si>
    <x:t xml:space="preserve">Completion_15min_Slot</x:t>
  </x:si>
  <x:si>
    <x:t xml:space="preserve">Service_Duration_min</x:t>
  </x:si>
  <x:si>
    <x:t xml:space="preserve">Total_Time_at_Station_min</x:t>
  </x:si>
  <x:si>
    <x:t xml:space="preserve">Actual_Grid_Energy_kWh</x:t>
  </x:si>
  <x:si>
    <x:t xml:space="preserve">Actual_Battery_Energy_kWh</x:t>
  </x:si>
  <x:si>
    <x:t xml:space="preserve">Delivered_Energy_Ratio_pct</x:t>
  </x:si>
  <x:si>
    <x:t xml:space="preserve">Average_Charging_Power_kW</x:t>
  </x:si>
  <x:si>
    <x:t xml:space="preserve">Peak_Charging_Power_kW</x:t>
  </x:si>
  <x:si>
    <x:t xml:space="preserve">Final_SOC_pct</x:t>
  </x:si>
  <x:si>
    <x:t xml:space="preserve">Crosses_Midnight</x:t>
  </x:si>
  <x:si>
    <x:t xml:space="preserve">Blocked_Reason</x:t>
  </x:si>
  <x:si>
    <x:t xml:space="preserve">Controller_Action_Class</x:t>
  </x:si>
  <x:si>
    <x:t xml:space="preserve">Controller_Adjusted_Arrival_Slot</x:t>
  </x:si>
  <x:si>
    <x:t xml:space="preserve">Controller_Planned_Start_Slot</x:t>
  </x:si>
  <x:si>
    <x:t xml:space="preserve">Controller_Planned_Price_LKR_per_kWh</x:t>
  </x:si>
  <x:si>
    <x:t xml:space="preserve">Controller_Allocated_Power_kW</x:t>
  </x:si>
  <x:si>
    <x:t xml:space="preserve">Controller_Notes</x:t>
  </x:si>
  <x:si>
    <x:t xml:space="preserve">Waiting_QoS_Met</x:t>
  </x:si>
  <x:si>
    <x:t xml:space="preserve">Completion_QoS_Met</x:t>
  </x:si>
  <x:si>
    <x:t xml:space="preserve">Overall_QoS_Met</x:t>
  </x:si>
  <x:si>
    <x:t xml:space="preserve">Typical-day arrival</x:t>
  </x:si>
  <x:si>
    <x:t xml:space="preserve">TD-EV-003</x:t>
  </x:si>
  <x:si>
    <x:t xml:space="preserve">TD-L-001</x:t>
  </x:si>
  <x:si>
    <x:t xml:space="preserve">long_trip</x:t>
  </x:si>
  <x:si>
    <x:t xml:space="preserve">Secondary long-trip drivers</x:t>
  </x:si>
  <x:si>
    <x:t xml:space="preserve">01:47</x:t>
  </x:si>
  <x:si>
    <x:t xml:space="preserve">Immediate admission</x:t>
  </x:si>
  <x:si>
    <x:t xml:space="preserve">Completed</x:t>
  </x:si>
  <x:si>
    <x:t xml:space="preserve">02:16</x:t>
  </x:si>
  <x:si>
    <x:t xml:space="preserve">Arrival-rate scenario with high-energy priority</x:t>
  </x:si>
  <x:si>
    <x:t xml:space="preserve">TD-EV-004</x:t>
  </x:si>
  <x:si>
    <x:t xml:space="preserve">TD-O-001</x:t>
  </x:si>
  <x:si>
    <x:t xml:space="preserve">opportunistic</x:t>
  </x:si>
  <x:si>
    <x:t xml:space="preserve">Secondary opportunistic users</x:t>
  </x:si>
  <x:si>
    <x:t xml:space="preserve">02:14</x:t>
  </x:si>
  <x:si>
    <x:t xml:space="preserve">02:29</x:t>
  </x:si>
  <x:si>
    <x:t xml:space="preserve">Arrival-rate scenario / optional rescheduling</x:t>
  </x:si>
  <x:si>
    <x:t xml:space="preserve">TD-EV-005</x:t>
  </x:si>
  <x:si>
    <x:t xml:space="preserve">TD-L-002</x:t>
  </x:si>
  <x:si>
    <x:t xml:space="preserve">02:23</x:t>
  </x:si>
  <x:si>
    <x:t xml:space="preserve">02:39</x:t>
  </x:si>
  <x:si>
    <x:t xml:space="preserve">TD-EV-006</x:t>
  </x:si>
  <x:si>
    <x:t xml:space="preserve">TD-O-002</x:t>
  </x:si>
  <x:si>
    <x:t xml:space="preserve">02:35</x:t>
  </x:si>
  <x:si>
    <x:t xml:space="preserve">TD-EV-007</x:t>
  </x:si>
  <x:si>
    <x:t xml:space="preserve">TD-O-003</x:t>
  </x:si>
  <x:si>
    <x:t xml:space="preserve">03:14</x:t>
  </x:si>
  <x:si>
    <x:t xml:space="preserve">03:22</x:t>
  </x:si>
  <x:si>
    <x:t xml:space="preserve">TD-EV-009</x:t>
  </x:si>
  <x:si>
    <x:t xml:space="preserve">TD-O-004</x:t>
  </x:si>
  <x:si>
    <x:t xml:space="preserve">03:58</x:t>
  </x:si>
  <x:si>
    <x:t xml:space="preserve">04:10</x:t>
  </x:si>
  <x:si>
    <x:t xml:space="preserve">TD-EV-010</x:t>
  </x:si>
  <x:si>
    <x:t xml:space="preserve">TD-O-005</x:t>
  </x:si>
  <x:si>
    <x:t xml:space="preserve">04:03</x:t>
  </x:si>
  <x:si>
    <x:t xml:space="preserve">04:19</x:t>
  </x:si>
  <x:si>
    <x:t xml:space="preserve">TD-EV-011</x:t>
  </x:si>
  <x:si>
    <x:t xml:space="preserve">TD-O-006</x:t>
  </x:si>
  <x:si>
    <x:t xml:space="preserve">04:31</x:t>
  </x:si>
  <x:si>
    <x:t xml:space="preserve">04:41</x:t>
  </x:si>
  <x:si>
    <x:t xml:space="preserve">TD-EV-013</x:t>
  </x:si>
  <x:si>
    <x:t xml:space="preserve">TD-O-007</x:t>
  </x:si>
  <x:si>
    <x:t xml:space="preserve">04:54</x:t>
  </x:si>
  <x:si>
    <x:t xml:space="preserve">04:56</x:t>
  </x:si>
  <x:si>
    <x:t xml:space="preserve">TD-EV-014</x:t>
  </x:si>
  <x:si>
    <x:t xml:space="preserve">TD-O-008</x:t>
  </x:si>
  <x:si>
    <x:t xml:space="preserve">05:01</x:t>
  </x:si>
  <x:si>
    <x:t xml:space="preserve">05:20</x:t>
  </x:si>
  <x:si>
    <x:t xml:space="preserve">TD-EV-017</x:t>
  </x:si>
  <x:si>
    <x:t xml:space="preserve">TD-O-009</x:t>
  </x:si>
  <x:si>
    <x:t xml:space="preserve">05:07</x:t>
  </x:si>
  <x:si>
    <x:t xml:space="preserve">05:22</x:t>
  </x:si>
  <x:si>
    <x:t xml:space="preserve">TD-EV-018</x:t>
  </x:si>
  <x:si>
    <x:t xml:space="preserve">TD-O-010</x:t>
  </x:si>
  <x:si>
    <x:t xml:space="preserve">05:09</x:t>
  </x:si>
  <x:si>
    <x:t xml:space="preserve">05:15</x:t>
  </x:si>
  <x:si>
    <x:t xml:space="preserve">TD-EV-021</x:t>
  </x:si>
  <x:si>
    <x:t xml:space="preserve">TD-O-011</x:t>
  </x:si>
  <x:si>
    <x:t xml:space="preserve">05:16</x:t>
  </x:si>
  <x:si>
    <x:t xml:space="preserve">06:18</x:t>
  </x:si>
  <x:si>
    <x:t xml:space="preserve">TD-EV-025</x:t>
  </x:si>
  <x:si>
    <x:t xml:space="preserve">TD-O-012</x:t>
  </x:si>
  <x:si>
    <x:t xml:space="preserve">05:49</x:t>
  </x:si>
  <x:si>
    <x:t xml:space="preserve">TD-EV-026</x:t>
  </x:si>
  <x:si>
    <x:t xml:space="preserve">TD-O-013</x:t>
  </x:si>
  <x:si>
    <x:t xml:space="preserve">05:35</x:t>
  </x:si>
  <x:si>
    <x:t xml:space="preserve">TD-EV-028</x:t>
  </x:si>
  <x:si>
    <x:t xml:space="preserve">TD-O-014</x:t>
  </x:si>
  <x:si>
    <x:t xml:space="preserve">05:29</x:t>
  </x:si>
  <x:si>
    <x:t xml:space="preserve">05:33</x:t>
  </x:si>
  <x:si>
    <x:t xml:space="preserve">TD-EV-029</x:t>
  </x:si>
  <x:si>
    <x:t xml:space="preserve">TD-O-015</x:t>
  </x:si>
  <x:si>
    <x:t xml:space="preserve">05:30</x:t>
  </x:si>
  <x:si>
    <x:t xml:space="preserve">05:38</x:t>
  </x:si>
  <x:si>
    <x:t xml:space="preserve">TD-EV-031</x:t>
  </x:si>
  <x:si>
    <x:t xml:space="preserve">TD-O-016</x:t>
  </x:si>
  <x:si>
    <x:t xml:space="preserve">05:31</x:t>
  </x:si>
  <x:si>
    <x:t xml:space="preserve">Queued then admitted</x:t>
  </x:si>
  <x:si>
    <x:t xml:space="preserve">06:14</x:t>
  </x:si>
  <x:si>
    <x:t xml:space="preserve">TD-EV-033</x:t>
  </x:si>
  <x:si>
    <x:t xml:space="preserve">TD-L-003</x:t>
  </x:si>
  <x:si>
    <x:t xml:space="preserve">05:34</x:t>
  </x:si>
  <x:si>
    <x:t xml:space="preserve">05:42</x:t>
  </x:si>
  <x:si>
    <x:t xml:space="preserve">05:59</x:t>
  </x:si>
  <x:si>
    <x:t xml:space="preserve">TD-EV-036</x:t>
  </x:si>
  <x:si>
    <x:t xml:space="preserve">TD-O-017</x:t>
  </x:si>
  <x:si>
    <x:t xml:space="preserve">05:41</x:t>
  </x:si>
  <x:si>
    <x:t xml:space="preserve">05:44</x:t>
  </x:si>
  <x:si>
    <x:t xml:space="preserve">TD-EV-038</x:t>
  </x:si>
  <x:si>
    <x:t xml:space="preserve">TD-O-018</x:t>
  </x:si>
  <x:si>
    <x:t xml:space="preserve">06:04</x:t>
  </x:si>
  <x:si>
    <x:t xml:space="preserve">TD-EV-040</x:t>
  </x:si>
  <x:si>
    <x:t xml:space="preserve">TD-O-019</x:t>
  </x:si>
  <x:si>
    <x:t xml:space="preserve">05:53</x:t>
  </x:si>
  <x:si>
    <x:t xml:space="preserve">05:58</x:t>
  </x:si>
  <x:si>
    <x:t xml:space="preserve">06:07</x:t>
  </x:si>
  <x:si>
    <x:t xml:space="preserve">TD-EV-041</x:t>
  </x:si>
  <x:si>
    <x:t xml:space="preserve">TD-O-020</x:t>
  </x:si>
  <x:si>
    <x:t xml:space="preserve">06:11</x:t>
  </x:si>
  <x:si>
    <x:t xml:space="preserve">TD-EV-044</x:t>
  </x:si>
  <x:si>
    <x:t xml:space="preserve">TD-O-021</x:t>
  </x:si>
  <x:si>
    <x:t xml:space="preserve">06:00</x:t>
  </x:si>
  <x:si>
    <x:t xml:space="preserve">TD-EV-045</x:t>
  </x:si>
  <x:si>
    <x:t xml:space="preserve">TD-O-022</x:t>
  </x:si>
  <x:si>
    <x:t xml:space="preserve">06:09</x:t>
  </x:si>
  <x:si>
    <x:t xml:space="preserve">TD-EV-046</x:t>
  </x:si>
  <x:si>
    <x:t xml:space="preserve">TD-O-023</x:t>
  </x:si>
  <x:si>
    <x:t xml:space="preserve">06:05</x:t>
  </x:si>
  <x:si>
    <x:t xml:space="preserve">06:06</x:t>
  </x:si>
  <x:si>
    <x:t xml:space="preserve">06:29</x:t>
  </x:si>
  <x:si>
    <x:t xml:space="preserve">TD-EV-047</x:t>
  </x:si>
  <x:si>
    <x:t xml:space="preserve">TD-O-024</x:t>
  </x:si>
  <x:si>
    <x:t xml:space="preserve">06:13</x:t>
  </x:si>
  <x:si>
    <x:t xml:space="preserve">06:25</x:t>
  </x:si>
  <x:si>
    <x:t xml:space="preserve">TD-EV-052</x:t>
  </x:si>
  <x:si>
    <x:t xml:space="preserve">TD-O-025</x:t>
  </x:si>
  <x:si>
    <x:t xml:space="preserve">06:27</x:t>
  </x:si>
  <x:si>
    <x:t xml:space="preserve">06:39</x:t>
  </x:si>
  <x:si>
    <x:t xml:space="preserve">TD-EV-054</x:t>
  </x:si>
  <x:si>
    <x:t xml:space="preserve">TD-O-026</x:t>
  </x:si>
  <x:si>
    <x:t xml:space="preserve">06:31</x:t>
  </x:si>
  <x:si>
    <x:t xml:space="preserve">06:43</x:t>
  </x:si>
  <x:si>
    <x:t xml:space="preserve">TD-EV-055</x:t>
  </x:si>
  <x:si>
    <x:t xml:space="preserve">TD-O-027</x:t>
  </x:si>
  <x:si>
    <x:t xml:space="preserve">06:38</x:t>
  </x:si>
  <x:si>
    <x:t xml:space="preserve">06:45</x:t>
  </x:si>
  <x:si>
    <x:t xml:space="preserve">TD-EV-058</x:t>
  </x:si>
  <x:si>
    <x:t xml:space="preserve">TD-O-028</x:t>
  </x:si>
  <x:si>
    <x:t xml:space="preserve">06:49</x:t>
  </x:si>
  <x:si>
    <x:t xml:space="preserve">TD-EV-060</x:t>
  </x:si>
  <x:si>
    <x:t xml:space="preserve">TD-O-029</x:t>
  </x:si>
  <x:si>
    <x:t xml:space="preserve">06:48</x:t>
  </x:si>
  <x:si>
    <x:t xml:space="preserve">07:00</x:t>
  </x:si>
  <x:si>
    <x:t xml:space="preserve">TD-EV-061</x:t>
  </x:si>
  <x:si>
    <x:t xml:space="preserve">TD-O-030</x:t>
  </x:si>
  <x:si>
    <x:t xml:space="preserve">06:50</x:t>
  </x:si>
  <x:si>
    <x:t xml:space="preserve">07:02</x:t>
  </x:si>
  <x:si>
    <x:t xml:space="preserve">TD-EV-066</x:t>
  </x:si>
  <x:si>
    <x:t xml:space="preserve">TD-O-031</x:t>
  </x:si>
  <x:si>
    <x:t xml:space="preserve">06:58</x:t>
  </x:si>
  <x:si>
    <x:t xml:space="preserve">07:01</x:t>
  </x:si>
  <x:si>
    <x:t xml:space="preserve">TD-EV-068</x:t>
  </x:si>
  <x:si>
    <x:t xml:space="preserve">TD-O-032</x:t>
  </x:si>
  <x:si>
    <x:t xml:space="preserve">07:03</x:t>
  </x:si>
  <x:si>
    <x:t xml:space="preserve">07:29</x:t>
  </x:si>
  <x:si>
    <x:t xml:space="preserve">TD-EV-069</x:t>
  </x:si>
  <x:si>
    <x:t xml:space="preserve">TD-O-033</x:t>
  </x:si>
  <x:si>
    <x:t xml:space="preserve">07:07</x:t>
  </x:si>
  <x:si>
    <x:t xml:space="preserve">07:17</x:t>
  </x:si>
  <x:si>
    <x:t xml:space="preserve">TD-EV-074</x:t>
  </x:si>
  <x:si>
    <x:t xml:space="preserve">TD-O-034</x:t>
  </x:si>
  <x:si>
    <x:t xml:space="preserve">07:18</x:t>
  </x:si>
  <x:si>
    <x:t xml:space="preserve">07:21</x:t>
  </x:si>
  <x:si>
    <x:t xml:space="preserve">TD-EV-077</x:t>
  </x:si>
  <x:si>
    <x:t xml:space="preserve">TD-O-035</x:t>
  </x:si>
  <x:si>
    <x:t xml:space="preserve">07:40</x:t>
  </x:si>
  <x:si>
    <x:t xml:space="preserve">07:56</x:t>
  </x:si>
  <x:si>
    <x:t xml:space="preserve">TD-EV-078</x:t>
  </x:si>
  <x:si>
    <x:t xml:space="preserve">TD-O-036</x:t>
  </x:si>
  <x:si>
    <x:t xml:space="preserve">07:41</x:t>
  </x:si>
  <x:si>
    <x:t xml:space="preserve">07:50</x:t>
  </x:si>
  <x:si>
    <x:t xml:space="preserve">TD-EV-079</x:t>
  </x:si>
  <x:si>
    <x:t xml:space="preserve">TD-O-037</x:t>
  </x:si>
  <x:si>
    <x:t xml:space="preserve">07:44</x:t>
  </x:si>
  <x:si>
    <x:t xml:space="preserve">TD-EV-080</x:t>
  </x:si>
  <x:si>
    <x:t xml:space="preserve">TD-O-038</x:t>
  </x:si>
  <x:si>
    <x:t xml:space="preserve">07:49</x:t>
  </x:si>
  <x:si>
    <x:t xml:space="preserve">07:54</x:t>
  </x:si>
  <x:si>
    <x:t xml:space="preserve">TD-EV-086</x:t>
  </x:si>
  <x:si>
    <x:t xml:space="preserve">TD-L-004</x:t>
  </x:si>
  <x:si>
    <x:t xml:space="preserve">08:17</x:t>
  </x:si>
  <x:si>
    <x:t xml:space="preserve">09:13</x:t>
  </x:si>
  <x:si>
    <x:t xml:space="preserve">TD-EV-087</x:t>
  </x:si>
  <x:si>
    <x:t xml:space="preserve">TD-O-039</x:t>
  </x:si>
  <x:si>
    <x:t xml:space="preserve">08:42</x:t>
  </x:si>
  <x:si>
    <x:t xml:space="preserve">08:55</x:t>
  </x:si>
  <x:si>
    <x:t xml:space="preserve">TD-EV-093</x:t>
  </x:si>
  <x:si>
    <x:t xml:space="preserve">TD-O-040</x:t>
  </x:si>
  <x:si>
    <x:t xml:space="preserve">09:17</x:t>
  </x:si>
  <x:si>
    <x:t xml:space="preserve">10:00</x:t>
  </x:si>
  <x:si>
    <x:t xml:space="preserve">TD-EV-095</x:t>
  </x:si>
  <x:si>
    <x:t xml:space="preserve">TD-O-041</x:t>
  </x:si>
  <x:si>
    <x:t xml:space="preserve">09:26</x:t>
  </x:si>
  <x:si>
    <x:t xml:space="preserve">09:35</x:t>
  </x:si>
  <x:si>
    <x:t xml:space="preserve">TD-EV-098</x:t>
  </x:si>
  <x:si>
    <x:t xml:space="preserve">TD-O-042</x:t>
  </x:si>
  <x:si>
    <x:t xml:space="preserve">10:03</x:t>
  </x:si>
  <x:si>
    <x:t xml:space="preserve">10:06</x:t>
  </x:si>
  <x:si>
    <x:t xml:space="preserve">TD-EV-099</x:t>
  </x:si>
  <x:si>
    <x:t xml:space="preserve">TD-O-043</x:t>
  </x:si>
  <x:si>
    <x:t xml:space="preserve">10:20</x:t>
  </x:si>
  <x:si>
    <x:t xml:space="preserve">TD-EV-101</x:t>
  </x:si>
  <x:si>
    <x:t xml:space="preserve">TD-O-044</x:t>
  </x:si>
  <x:si>
    <x:t xml:space="preserve">10:30</x:t>
  </x:si>
  <x:si>
    <x:t xml:space="preserve">10:37</x:t>
  </x:si>
  <x:si>
    <x:t xml:space="preserve">TD-EV-105</x:t>
  </x:si>
  <x:si>
    <x:t xml:space="preserve">TD-O-045</x:t>
  </x:si>
  <x:si>
    <x:t xml:space="preserve">11:46</x:t>
  </x:si>
  <x:si>
    <x:t xml:space="preserve">11:49</x:t>
  </x:si>
  <x:si>
    <x:t xml:space="preserve">TD-EV-107</x:t>
  </x:si>
  <x:si>
    <x:t xml:space="preserve">TD-L-005</x:t>
  </x:si>
  <x:si>
    <x:t xml:space="preserve">12:07</x:t>
  </x:si>
  <x:si>
    <x:t xml:space="preserve">12:14</x:t>
  </x:si>
  <x:si>
    <x:t xml:space="preserve">TD-EV-110</x:t>
  </x:si>
  <x:si>
    <x:t xml:space="preserve">TD-O-046</x:t>
  </x:si>
  <x:si>
    <x:t xml:space="preserve">12:27</x:t>
  </x:si>
  <x:si>
    <x:t xml:space="preserve">12:50</x:t>
  </x:si>
  <x:si>
    <x:t xml:space="preserve">TD-EV-112</x:t>
  </x:si>
  <x:si>
    <x:t xml:space="preserve">TD-O-047</x:t>
  </x:si>
  <x:si>
    <x:t xml:space="preserve">12:40</x:t>
  </x:si>
  <x:si>
    <x:t xml:space="preserve">12:47</x:t>
  </x:si>
  <x:si>
    <x:t xml:space="preserve">TD-EV-113</x:t>
  </x:si>
  <x:si>
    <x:t xml:space="preserve">TD-O-048</x:t>
  </x:si>
  <x:si>
    <x:t xml:space="preserve">12:44</x:t>
  </x:si>
  <x:si>
    <x:t xml:space="preserve">12:57</x:t>
  </x:si>
  <x:si>
    <x:t xml:space="preserve">TD-EV-116</x:t>
  </x:si>
  <x:si>
    <x:t xml:space="preserve">TD-L-006</x:t>
  </x:si>
  <x:si>
    <x:t xml:space="preserve">13:40</x:t>
  </x:si>
  <x:si>
    <x:t xml:space="preserve">15:40</x:t>
  </x:si>
  <x:si>
    <x:t xml:space="preserve">TD-EV-121</x:t>
  </x:si>
  <x:si>
    <x:t xml:space="preserve">TD-O-049</x:t>
  </x:si>
  <x:si>
    <x:t xml:space="preserve">14:22</x:t>
  </x:si>
  <x:si>
    <x:t xml:space="preserve">14:29</x:t>
  </x:si>
  <x:si>
    <x:t xml:space="preserve">TD-EV-122</x:t>
  </x:si>
  <x:si>
    <x:t xml:space="preserve">TD-O-050</x:t>
  </x:si>
  <x:si>
    <x:t xml:space="preserve">14:31</x:t>
  </x:si>
  <x:si>
    <x:t xml:space="preserve">14:41</x:t>
  </x:si>
  <x:si>
    <x:t xml:space="preserve">TD-EV-123</x:t>
  </x:si>
  <x:si>
    <x:t xml:space="preserve">TD-O-051</x:t>
  </x:si>
  <x:si>
    <x:t xml:space="preserve">15:06</x:t>
  </x:si>
  <x:si>
    <x:t xml:space="preserve">15:22</x:t>
  </x:si>
  <x:si>
    <x:t xml:space="preserve">TD-EV-124</x:t>
  </x:si>
  <x:si>
    <x:t xml:space="preserve">TD-L-007</x:t>
  </x:si>
  <x:si>
    <x:t xml:space="preserve">16:05</x:t>
  </x:si>
  <x:si>
    <x:t xml:space="preserve">16:26</x:t>
  </x:si>
  <x:si>
    <x:t xml:space="preserve">TD-EV-128</x:t>
  </x:si>
  <x:si>
    <x:t xml:space="preserve">TD-O-052</x:t>
  </x:si>
  <x:si>
    <x:t xml:space="preserve">17:25</x:t>
  </x:si>
  <x:si>
    <x:t xml:space="preserve">17:48</x:t>
  </x:si>
  <x:si>
    <x:t xml:space="preserve">TD-EV-130</x:t>
  </x:si>
  <x:si>
    <x:t xml:space="preserve">TD-O-053</x:t>
  </x:si>
  <x:si>
    <x:t xml:space="preserve">17:51</x:t>
  </x:si>
  <x:si>
    <x:t xml:space="preserve">TD-EV-132</x:t>
  </x:si>
  <x:si>
    <x:t xml:space="preserve">TD-L-008</x:t>
  </x:si>
  <x:si>
    <x:t xml:space="preserve">17:58</x:t>
  </x:si>
  <x:si>
    <x:t xml:space="preserve">19:04</x:t>
  </x:si>
  <x:si>
    <x:t xml:space="preserve">TD-EV-137</x:t>
  </x:si>
  <x:si>
    <x:t xml:space="preserve">TD-O-054</x:t>
  </x:si>
  <x:si>
    <x:t xml:space="preserve">18:15</x:t>
  </x:si>
  <x:si>
    <x:t xml:space="preserve">18:19</x:t>
  </x:si>
  <x:si>
    <x:t xml:space="preserve">TD-EV-139</x:t>
  </x:si>
  <x:si>
    <x:t xml:space="preserve">TD-O-055</x:t>
  </x:si>
  <x:si>
    <x:t xml:space="preserve">18:30</x:t>
  </x:si>
  <x:si>
    <x:t xml:space="preserve">18:38</x:t>
  </x:si>
  <x:si>
    <x:t xml:space="preserve">TD-EV-145</x:t>
  </x:si>
  <x:si>
    <x:t xml:space="preserve">TD-O-056</x:t>
  </x:si>
  <x:si>
    <x:t xml:space="preserve">18:43</x:t>
  </x:si>
  <x:si>
    <x:t xml:space="preserve">19:17</x:t>
  </x:si>
  <x:si>
    <x:t xml:space="preserve">TD-EV-147</x:t>
  </x:si>
  <x:si>
    <x:t xml:space="preserve">TD-O-057</x:t>
  </x:si>
  <x:si>
    <x:t xml:space="preserve">18:52</x:t>
  </x:si>
  <x:si>
    <x:t xml:space="preserve">19:05</x:t>
  </x:si>
  <x:si>
    <x:t xml:space="preserve">TD-EV-148</x:t>
  </x:si>
  <x:si>
    <x:t xml:space="preserve">TD-O-058</x:t>
  </x:si>
  <x:si>
    <x:t xml:space="preserve">18:57</x:t>
  </x:si>
  <x:si>
    <x:t xml:space="preserve">19:06</x:t>
  </x:si>
  <x:si>
    <x:t xml:space="preserve">TD-EV-151</x:t>
  </x:si>
  <x:si>
    <x:t xml:space="preserve">TD-O-059</x:t>
  </x:si>
  <x:si>
    <x:t xml:space="preserve">19:11</x:t>
  </x:si>
  <x:si>
    <x:t xml:space="preserve">19:22</x:t>
  </x:si>
  <x:si>
    <x:t xml:space="preserve">TD-EV-152</x:t>
  </x:si>
  <x:si>
    <x:t xml:space="preserve">TD-O-060</x:t>
  </x:si>
  <x:si>
    <x:t xml:space="preserve">19:12</x:t>
  </x:si>
  <x:si>
    <x:t xml:space="preserve">TD-EV-155</x:t>
  </x:si>
  <x:si>
    <x:t xml:space="preserve">TD-O-061</x:t>
  </x:si>
  <x:si>
    <x:t xml:space="preserve">19:19</x:t>
  </x:si>
  <x:si>
    <x:t xml:space="preserve">19:35</x:t>
  </x:si>
  <x:si>
    <x:t xml:space="preserve">TD-EV-157</x:t>
  </x:si>
  <x:si>
    <x:t xml:space="preserve">TD-O-062</x:t>
  </x:si>
  <x:si>
    <x:t xml:space="preserve">19:21</x:t>
  </x:si>
  <x:si>
    <x:t xml:space="preserve">19:26</x:t>
  </x:si>
  <x:si>
    <x:t xml:space="preserve">TD-EV-158</x:t>
  </x:si>
  <x:si>
    <x:t xml:space="preserve">TD-O-063</x:t>
  </x:si>
  <x:si>
    <x:t xml:space="preserve">19:50</x:t>
  </x:si>
  <x:si>
    <x:t xml:space="preserve">TD-EV-159</x:t>
  </x:si>
  <x:si>
    <x:t xml:space="preserve">TD-O-064</x:t>
  </x:si>
  <x:si>
    <x:t xml:space="preserve">19:24</x:t>
  </x:si>
  <x:si>
    <x:t xml:space="preserve">19:31</x:t>
  </x:si>
  <x:si>
    <x:t xml:space="preserve">TD-EV-160</x:t>
  </x:si>
  <x:si>
    <x:t xml:space="preserve">TD-O-065</x:t>
  </x:si>
  <x:si>
    <x:t xml:space="preserve">TD-EV-164</x:t>
  </x:si>
  <x:si>
    <x:t xml:space="preserve">TD-O-066</x:t>
  </x:si>
  <x:si>
    <x:t xml:space="preserve">19:32</x:t>
  </x:si>
  <x:si>
    <x:t xml:space="preserve">19:46</x:t>
  </x:si>
  <x:si>
    <x:t xml:space="preserve">TD-EV-165</x:t>
  </x:si>
  <x:si>
    <x:t xml:space="preserve">TD-O-067</x:t>
  </x:si>
  <x:si>
    <x:t xml:space="preserve">19:33</x:t>
  </x:si>
  <x:si>
    <x:t xml:space="preserve">19:38</x:t>
  </x:si>
  <x:si>
    <x:t xml:space="preserve">TD-EV-168</x:t>
  </x:si>
  <x:si>
    <x:t xml:space="preserve">TD-O-068</x:t>
  </x:si>
  <x:si>
    <x:t xml:space="preserve">19:39</x:t>
  </x:si>
  <x:si>
    <x:t xml:space="preserve">19:56</x:t>
  </x:si>
  <x:si>
    <x:t xml:space="preserve">TD-EV-175</x:t>
  </x:si>
  <x:si>
    <x:t xml:space="preserve">TD-O-069</x:t>
  </x:si>
  <x:si>
    <x:t xml:space="preserve">19:48</x:t>
  </x:si>
  <x:si>
    <x:t xml:space="preserve">19:55</x:t>
  </x:si>
  <x:si>
    <x:t xml:space="preserve">19:58</x:t>
  </x:si>
  <x:si>
    <x:t xml:space="preserve">TD-EV-177</x:t>
  </x:si>
  <x:si>
    <x:t xml:space="preserve">TD-O-070</x:t>
  </x:si>
  <x:si>
    <x:t xml:space="preserve">19:51</x:t>
  </x:si>
  <x:si>
    <x:t xml:space="preserve">20:03</x:t>
  </x:si>
  <x:si>
    <x:t xml:space="preserve">TD-EV-178</x:t>
  </x:si>
  <x:si>
    <x:t xml:space="preserve">TD-O-071</x:t>
  </x:si>
  <x:si>
    <x:t xml:space="preserve">20:06</x:t>
  </x:si>
  <x:si>
    <x:t xml:space="preserve">TD-EV-179</x:t>
  </x:si>
  <x:si>
    <x:t xml:space="preserve">TD-O-072</x:t>
  </x:si>
  <x:si>
    <x:t xml:space="preserve">19:52</x:t>
  </x:si>
  <x:si>
    <x:t xml:space="preserve">20:00</x:t>
  </x:si>
  <x:si>
    <x:t xml:space="preserve">20:25</x:t>
  </x:si>
  <x:si>
    <x:t xml:space="preserve">TD-EV-180</x:t>
  </x:si>
  <x:si>
    <x:t xml:space="preserve">TD-O-073</x:t>
  </x:si>
  <x:si>
    <x:t xml:space="preserve">19:53</x:t>
  </x:si>
  <x:si>
    <x:t xml:space="preserve">20:01</x:t>
  </x:si>
  <x:si>
    <x:t xml:space="preserve">20:17</x:t>
  </x:si>
  <x:si>
    <x:t xml:space="preserve">TD-EV-182</x:t>
  </x:si>
  <x:si>
    <x:t xml:space="preserve">TD-L-009</x:t>
  </x:si>
  <x:si>
    <x:t xml:space="preserve">20:39</x:t>
  </x:si>
  <x:si>
    <x:t xml:space="preserve">TD-EV-184</x:t>
  </x:si>
  <x:si>
    <x:t xml:space="preserve">TD-O-074</x:t>
  </x:si>
  <x:si>
    <x:t xml:space="preserve">20:02</x:t>
  </x:si>
  <x:si>
    <x:t xml:space="preserve">20:08</x:t>
  </x:si>
  <x:si>
    <x:t xml:space="preserve">20:14</x:t>
  </x:si>
  <x:si>
    <x:t xml:space="preserve">TD-EV-185</x:t>
  </x:si>
  <x:si>
    <x:t xml:space="preserve">TD-O-075</x:t>
  </x:si>
  <x:si>
    <x:t xml:space="preserve">20:09</x:t>
  </x:si>
  <x:si>
    <x:t xml:space="preserve">20:28</x:t>
  </x:si>
  <x:si>
    <x:t xml:space="preserve">TD-EV-186</x:t>
  </x:si>
  <x:si>
    <x:t xml:space="preserve">TD-O-076</x:t>
  </x:si>
  <x:si>
    <x:t xml:space="preserve">20:05</x:t>
  </x:si>
  <x:si>
    <x:t xml:space="preserve">20:10</x:t>
  </x:si>
  <x:si>
    <x:t xml:space="preserve">20:23</x:t>
  </x:si>
  <x:si>
    <x:t xml:space="preserve">TD-EV-187</x:t>
  </x:si>
  <x:si>
    <x:t xml:space="preserve">TD-O-077</x:t>
  </x:si>
  <x:si>
    <x:t xml:space="preserve">20:12</x:t>
  </x:si>
  <x:si>
    <x:t xml:space="preserve">TD-EV-189</x:t>
  </x:si>
  <x:si>
    <x:t xml:space="preserve">TD-O-078</x:t>
  </x:si>
  <x:si>
    <x:t xml:space="preserve">20:13</x:t>
  </x:si>
  <x:si>
    <x:t xml:space="preserve">TD-EV-190</x:t>
  </x:si>
  <x:si>
    <x:t xml:space="preserve">TD-L-010</x:t>
  </x:si>
  <x:si>
    <x:t xml:space="preserve">21:19</x:t>
  </x:si>
  <x:si>
    <x:t xml:space="preserve">TD-EV-192</x:t>
  </x:si>
  <x:si>
    <x:t xml:space="preserve">TD-O-079</x:t>
  </x:si>
  <x:si>
    <x:t xml:space="preserve">20:22</x:t>
  </x:si>
  <x:si>
    <x:t xml:space="preserve">20:38</x:t>
  </x:si>
  <x:si>
    <x:t xml:space="preserve">TD-EV-194</x:t>
  </x:si>
  <x:si>
    <x:t xml:space="preserve">TD-O-080</x:t>
  </x:si>
  <x:si>
    <x:t xml:space="preserve">20:26</x:t>
  </x:si>
  <x:si>
    <x:t xml:space="preserve">20:40</x:t>
  </x:si>
  <x:si>
    <x:t xml:space="preserve">TD-EV-195</x:t>
  </x:si>
  <x:si>
    <x:t xml:space="preserve">TD-O-081</x:t>
  </x:si>
  <x:si>
    <x:t xml:space="preserve">20:33</x:t>
  </x:si>
  <x:si>
    <x:t xml:space="preserve">TD-EV-197</x:t>
  </x:si>
  <x:si>
    <x:t xml:space="preserve">TD-O-082</x:t>
  </x:si>
  <x:si>
    <x:t xml:space="preserve">20:34</x:t>
  </x:si>
  <x:si>
    <x:t xml:space="preserve">TD-EV-198</x:t>
  </x:si>
  <x:si>
    <x:t xml:space="preserve">TD-O-083</x:t>
  </x:si>
  <x:si>
    <x:t xml:space="preserve">TD-EV-200</x:t>
  </x:si>
  <x:si>
    <x:t xml:space="preserve">TD-O-084</x:t>
  </x:si>
  <x:si>
    <x:t xml:space="preserve">21:09</x:t>
  </x:si>
  <x:si>
    <x:t xml:space="preserve">TD-EV-202</x:t>
  </x:si>
  <x:si>
    <x:t xml:space="preserve">TD-O-085</x:t>
  </x:si>
  <x:si>
    <x:t xml:space="preserve">20:44</x:t>
  </x:si>
  <x:si>
    <x:t xml:space="preserve">21:04</x:t>
  </x:si>
  <x:si>
    <x:t xml:space="preserve">TD-EV-203</x:t>
  </x:si>
  <x:si>
    <x:t xml:space="preserve">TD-O-086</x:t>
  </x:si>
  <x:si>
    <x:t xml:space="preserve">20:46</x:t>
  </x:si>
  <x:si>
    <x:t xml:space="preserve">20:53</x:t>
  </x:si>
  <x:si>
    <x:t xml:space="preserve">TD-EV-204</x:t>
  </x:si>
  <x:si>
    <x:t xml:space="preserve">TD-O-087</x:t>
  </x:si>
  <x:si>
    <x:t xml:space="preserve">20:48</x:t>
  </x:si>
  <x:si>
    <x:t xml:space="preserve">TD-EV-206</x:t>
  </x:si>
  <x:si>
    <x:t xml:space="preserve">TD-O-088</x:t>
  </x:si>
  <x:si>
    <x:t xml:space="preserve">21:02</x:t>
  </x:si>
  <x:si>
    <x:t xml:space="preserve">TD-EV-207</x:t>
  </x:si>
  <x:si>
    <x:t xml:space="preserve">TD-O-089</x:t>
  </x:si>
  <x:si>
    <x:t xml:space="preserve">20:54</x:t>
  </x:si>
  <x:si>
    <x:t xml:space="preserve">21:25</x:t>
  </x:si>
  <x:si>
    <x:t xml:space="preserve">TD-EV-208</x:t>
  </x:si>
  <x:si>
    <x:t xml:space="preserve">TD-O-090</x:t>
  </x:si>
  <x:si>
    <x:t xml:space="preserve">20:56</x:t>
  </x:si>
  <x:si>
    <x:t xml:space="preserve">21:06</x:t>
  </x:si>
  <x:si>
    <x:t xml:space="preserve">TD-EV-211</x:t>
  </x:si>
  <x:si>
    <x:t xml:space="preserve">TD-O-091</x:t>
  </x:si>
  <x:si>
    <x:t xml:space="preserve">21:11</x:t>
  </x:si>
  <x:si>
    <x:t xml:space="preserve">TD-EV-212</x:t>
  </x:si>
  <x:si>
    <x:t xml:space="preserve">TD-L-011</x:t>
  </x:si>
  <x:si>
    <x:t xml:space="preserve">21:54</x:t>
  </x:si>
  <x:si>
    <x:t xml:space="preserve">TD-EV-213</x:t>
  </x:si>
  <x:si>
    <x:t xml:space="preserve">TD-O-092</x:t>
  </x:si>
  <x:si>
    <x:t xml:space="preserve">21:22</x:t>
  </x:si>
  <x:si>
    <x:t xml:space="preserve">TD-EV-214</x:t>
  </x:si>
  <x:si>
    <x:t xml:space="preserve">TD-O-093</x:t>
  </x:si>
  <x:si>
    <x:t xml:space="preserve">21:08</x:t>
  </x:si>
  <x:si>
    <x:t xml:space="preserve">21:15</x:t>
  </x:si>
  <x:si>
    <x:t xml:space="preserve">TD-EV-217</x:t>
  </x:si>
  <x:si>
    <x:t xml:space="preserve">TD-O-094</x:t>
  </x:si>
  <x:si>
    <x:t xml:space="preserve">21:14</x:t>
  </x:si>
  <x:si>
    <x:t xml:space="preserve">21:20</x:t>
  </x:si>
  <x:si>
    <x:t xml:space="preserve">TD-EV-224</x:t>
  </x:si>
  <x:si>
    <x:t xml:space="preserve">TD-O-095</x:t>
  </x:si>
  <x:si>
    <x:t xml:space="preserve">21:27</x:t>
  </x:si>
  <x:si>
    <x:t xml:space="preserve">21:45</x:t>
  </x:si>
  <x:si>
    <x:t xml:space="preserve">TD-EV-225</x:t>
  </x:si>
  <x:si>
    <x:t xml:space="preserve">TD-O-096</x:t>
  </x:si>
  <x:si>
    <x:t xml:space="preserve">21:28</x:t>
  </x:si>
  <x:si>
    <x:t xml:space="preserve">21:52</x:t>
  </x:si>
  <x:si>
    <x:t xml:space="preserve">TD-EV-231</x:t>
  </x:si>
  <x:si>
    <x:t xml:space="preserve">TD-O-097</x:t>
  </x:si>
  <x:si>
    <x:t xml:space="preserve">21:34</x:t>
  </x:si>
  <x:si>
    <x:t xml:space="preserve">21:58</x:t>
  </x:si>
  <x:si>
    <x:t xml:space="preserve">22:04</x:t>
  </x:si>
  <x:si>
    <x:t xml:space="preserve">TD-EV-235</x:t>
  </x:si>
  <x:si>
    <x:t xml:space="preserve">TD-O-098</x:t>
  </x:si>
  <x:si>
    <x:t xml:space="preserve">21:39</x:t>
  </x:si>
  <x:si>
    <x:t xml:space="preserve">21:59</x:t>
  </x:si>
  <x:si>
    <x:t xml:space="preserve">22:39</x:t>
  </x:si>
  <x:si>
    <x:t xml:space="preserve">TD-EV-236</x:t>
  </x:si>
  <x:si>
    <x:t xml:space="preserve">TD-O-099</x:t>
  </x:si>
  <x:si>
    <x:t xml:space="preserve">21:41</x:t>
  </x:si>
  <x:si>
    <x:t xml:space="preserve">22:11</x:t>
  </x:si>
  <x:si>
    <x:t xml:space="preserve">TD-EV-239</x:t>
  </x:si>
  <x:si>
    <x:t xml:space="preserve">TD-O-100</x:t>
  </x:si>
  <x:si>
    <x:t xml:space="preserve">21:43</x:t>
  </x:si>
  <x:si>
    <x:t xml:space="preserve">22:05</x:t>
  </x:si>
  <x:si>
    <x:t xml:space="preserve">22:32</x:t>
  </x:si>
  <x:si>
    <x:t xml:space="preserve">TD-EV-243</x:t>
  </x:si>
  <x:si>
    <x:t xml:space="preserve">TD-O-101</x:t>
  </x:si>
  <x:si>
    <x:t xml:space="preserve">21:57</x:t>
  </x:si>
  <x:si>
    <x:t xml:space="preserve">22:07</x:t>
  </x:si>
  <x:si>
    <x:t xml:space="preserve">22:28</x:t>
  </x:si>
  <x:si>
    <x:t xml:space="preserve">TD-EV-244</x:t>
  </x:si>
  <x:si>
    <x:t xml:space="preserve">TD-O-102</x:t>
  </x:si>
  <x:si>
    <x:t xml:space="preserve">22:14</x:t>
  </x:si>
  <x:si>
    <x:t xml:space="preserve">22:37</x:t>
  </x:si>
  <x:si>
    <x:t xml:space="preserve">TD-EV-249</x:t>
  </x:si>
  <x:si>
    <x:t xml:space="preserve">TD-O-103</x:t>
  </x:si>
  <x:si>
    <x:t xml:space="preserve">22:09</x:t>
  </x:si>
  <x:si>
    <x:t xml:space="preserve">22:18</x:t>
  </x:si>
  <x:si>
    <x:t xml:space="preserve">22:43</x:t>
  </x:si>
  <x:si>
    <x:t xml:space="preserve">TD-EV-251</x:t>
  </x:si>
  <x:si>
    <x:t xml:space="preserve">TD-O-104</x:t>
  </x:si>
  <x:si>
    <x:t xml:space="preserve">22:22</x:t>
  </x:si>
  <x:si>
    <x:t xml:space="preserve">22:29</x:t>
  </x:si>
  <x:si>
    <x:t xml:space="preserve">TD-EV-252</x:t>
  </x:si>
  <x:si>
    <x:t xml:space="preserve">TD-O-105</x:t>
  </x:si>
  <x:si>
    <x:t xml:space="preserve">22:12</x:t>
  </x:si>
  <x:si>
    <x:t xml:space="preserve">22:46</x:t>
  </x:si>
  <x:si>
    <x:t xml:space="preserve">TD-EV-253</x:t>
  </x:si>
  <x:si>
    <x:t xml:space="preserve">TD-O-106</x:t>
  </x:si>
  <x:si>
    <x:t xml:space="preserve">22:13</x:t>
  </x:si>
  <x:si>
    <x:t xml:space="preserve">22:51</x:t>
  </x:si>
  <x:si>
    <x:t xml:space="preserve">TD-EV-254</x:t>
  </x:si>
  <x:si>
    <x:t xml:space="preserve">TD-L-012</x:t>
  </x:si>
  <x:si>
    <x:t xml:space="preserve">22:17</x:t>
  </x:si>
  <x:si>
    <x:t xml:space="preserve">22:34</x:t>
  </x:si>
  <x:si>
    <x:t xml:space="preserve">23:00</x:t>
  </x:si>
  <x:si>
    <x:t xml:space="preserve">TD-EV-256</x:t>
  </x:si>
  <x:si>
    <x:t xml:space="preserve">TD-O-107</x:t>
  </x:si>
  <x:si>
    <x:t xml:space="preserve">22:21</x:t>
  </x:si>
  <x:si>
    <x:t xml:space="preserve">22:36</x:t>
  </x:si>
  <x:si>
    <x:t xml:space="preserve">22:48</x:t>
  </x:si>
  <x:si>
    <x:t xml:space="preserve">TD-EV-257</x:t>
  </x:si>
  <x:si>
    <x:t xml:space="preserve">TD-O-108</x:t>
  </x:si>
  <x:si>
    <x:t xml:space="preserve">22:45</x:t>
  </x:si>
  <x:si>
    <x:t xml:space="preserve">TD-EV-260</x:t>
  </x:si>
  <x:si>
    <x:t xml:space="preserve">TD-O-109</x:t>
  </x:si>
  <x:si>
    <x:t xml:space="preserve">22:24</x:t>
  </x:si>
  <x:si>
    <x:t xml:space="preserve">23:03</x:t>
  </x:si>
  <x:si>
    <x:t xml:space="preserve">TD-EV-263</x:t>
  </x:si>
  <x:si>
    <x:t xml:space="preserve">TD-O-110</x:t>
  </x:si>
  <x:si>
    <x:t xml:space="preserve">22:27</x:t>
  </x:si>
  <x:si>
    <x:t xml:space="preserve">22:52</x:t>
  </x:si>
  <x:si>
    <x:t xml:space="preserve">TD-EV-264</x:t>
  </x:si>
  <x:si>
    <x:t xml:space="preserve">TD-O-111</x:t>
  </x:si>
  <x:si>
    <x:t xml:space="preserve">22:49</x:t>
  </x:si>
  <x:si>
    <x:t xml:space="preserve">TD-EV-266</x:t>
  </x:si>
  <x:si>
    <x:t xml:space="preserve">TD-O-112</x:t>
  </x:si>
  <x:si>
    <x:t xml:space="preserve">23:01</x:t>
  </x:si>
  <x:si>
    <x:t xml:space="preserve">TD-EV-267</x:t>
  </x:si>
  <x:si>
    <x:t xml:space="preserve">TD-O-113</x:t>
  </x:si>
  <x:si>
    <x:t xml:space="preserve">22:42</x:t>
  </x:si>
  <x:si>
    <x:t xml:space="preserve">23:13</x:t>
  </x:si>
  <x:si>
    <x:t xml:space="preserve">TD-EV-268</x:t>
  </x:si>
  <x:si>
    <x:t xml:space="preserve">TD-O-114</x:t>
  </x:si>
  <x:si>
    <x:t xml:space="preserve">22:50</x:t>
  </x:si>
  <x:si>
    <x:t xml:space="preserve">TD-EV-269</x:t>
  </x:si>
  <x:si>
    <x:t xml:space="preserve">TD-O-115</x:t>
  </x:si>
  <x:si>
    <x:t xml:space="preserve">22:53</x:t>
  </x:si>
  <x:si>
    <x:t xml:space="preserve">TD-EV-270</x:t>
  </x:si>
  <x:si>
    <x:t xml:space="preserve">TD-O-116</x:t>
  </x:si>
  <x:si>
    <x:t xml:space="preserve">23:17</x:t>
  </x:si>
  <x:si>
    <x:t xml:space="preserve">TD-EV-272</x:t>
  </x:si>
  <x:si>
    <x:t xml:space="preserve">TD-O-117</x:t>
  </x:si>
  <x:si>
    <x:t xml:space="preserve">22:56</x:t>
  </x:si>
</x:sst>
</file>

<file path=xl/styles.xml><?xml version="1.0" encoding="utf-8"?>
<x:styleSheet xmlns:x="http://schemas.openxmlformats.org/spreadsheetml/2006/main">
  <x:numFmts count="1">
    <x:numFmt numFmtId="164" formatCode="0.0000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vertical="center"/>
    </x:xf>
    <x:xf numFmtId="1" fontId="0" fillId="0" borderId="1" xfId="0" applyNumberFormat="1" applyBorder="1" applyAlignment="1">
      <x:alignment vertical="center"/>
    </x:xf>
    <x:xf numFmtId="164" fontId="0" fillId="0" borderId="1" xfId="0" applyNumberFormat="1" applyBorder="1" applyAlignment="1">
      <x:alignment vertical="center"/>
    </x:xf>
    <x:xf numFmtId="2" fontId="0" fillId="0" borderId="1" xfId="0" applyNumberFormat="1" applyBorder="1" applyAlignment="1">
      <x:alignment vertical="center"/>
    </x:xf>
    <x:xf numFmtId="1" fontId="0" fillId="3" borderId="1" xfId="0" applyNumberFormat="1" applyFill="1" applyBorder="1" applyAlignment="1">
      <x:alignment vertical="center"/>
    </x:xf>
    <x:xf numFmtId="2" fontId="0" fillId="3" borderId="1" xfId="0" applyNumberFormat="1" applyFill="1" applyBorder="1" applyAlignment="1">
      <x:alignment vertical="center"/>
    </x:xf>
    <x:xf numFmtId="0" fontId="0" fillId="3" borderId="1" xfId="0" applyFill="1" applyBorder="1" applyAlignment="1">
      <x:alignment vertical="center"/>
    </x:xf>
    <x:xf numFmtId="20" fontId="0" fillId="0" borderId="1" xfId="0" applyNumberFormat="1" applyBorder="1" applyAlignment="1">
      <x:alignment vertical="center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/>
    </x:xf>
    <x:xf numFmtId="1" fontId="0" fillId="0" borderId="3" xfId="0" applyNumberFormat="1" applyFont="1" applyFill="1" applyBorder="1" applyAlignment="1">
      <x:alignment vertical="center"/>
    </x:xf>
    <x:xf numFmtId="164" fontId="0" fillId="0" borderId="3" xfId="0" applyNumberFormat="1" applyFont="1" applyFill="1" applyBorder="1" applyAlignment="1">
      <x:alignment vertical="center"/>
    </x:xf>
    <x:xf numFmtId="2" fontId="0" fillId="0" borderId="3" xfId="0" applyNumberFormat="1" applyFont="1" applyFill="1" applyBorder="1" applyAlignment="1">
      <x:alignment vertical="center"/>
    </x:xf>
    <x:xf numFmtId="1" fontId="0" fillId="3" borderId="3" xfId="0" applyNumberFormat="1" applyFont="1" applyFill="1" applyBorder="1" applyAlignment="1">
      <x:alignment vertical="center"/>
    </x:xf>
    <x:xf numFmtId="2" fontId="0" fillId="3" borderId="3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20" fontId="0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deb2960484251" /><Relationship Type="http://schemas.openxmlformats.org/officeDocument/2006/relationships/theme" Target="/xl/theme/theme1.xml" Id="R5ff576680cff44a1" /><Relationship Type="http://schemas.openxmlformats.org/officeDocument/2006/relationships/sharedStrings" Target="/xl/sharedStrings.xml" Id="Rd44409d934eb49fa" /><Relationship Type="http://schemas.openxmlformats.org/officeDocument/2006/relationships/worksheet" Target="/xl/worksheets/sheet1.xml" Id="R02d62231317c485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60" max="60" width="25" hidden="0" customWidth="1"/>
    <x:col min="61" max="61" width="25" hidden="0" customWidth="1"/>
  </x:cols>
  <x:sheetData>
    <x:row r="1" ht="7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24" t="str">
        <x:v>Elastic_Window_Start_Time</x:v>
      </x:c>
      <x:c r="BI1" s="24" t="str">
        <x:v>Elastic_Window_End_Time</x:v>
      </x:c>
    </x:row>
    <x:row r="2">
      <x:c r="A2" s="2" t="s">
        <x:v>59</x:v>
      </x:c>
      <x:c r="B2" s="3">
        <x:v>3</x:v>
      </x:c>
      <x:c r="C2" s="2" t="s">
        <x:v>60</x:v>
      </x:c>
      <x:c r="D2" s="2" t="s">
        <x:v>61</x:v>
      </x:c>
      <x:c r="E2" s="2" t="s">
        <x:v>62</x:v>
      </x:c>
      <x:c r="F2" s="2" t="s">
        <x:v>63</x:v>
      </x:c>
      <x:c r="G2" s="3">
        <x:v>1</x:v>
      </x:c>
      <x:c r="H2" s="3">
        <x:v>1</x:v>
      </x:c>
      <x:c r="I2" s="3">
        <x:v>20</x:v>
      </x:c>
      <x:c r="J2" s="4">
        <x:v>8.2304526748971207E-2</x:v>
      </x:c>
      <x:c r="K2" s="3">
        <x:v>0</x:v>
      </x:c>
      <x:c r="L2" s="2" t="s">
        <x:v>64</x:v>
      </x:c>
      <x:c r="M2" s="3">
        <x:v>107</x:v>
      </x:c>
      <x:c r="N2" s="3">
        <x:v>8</x:v>
      </x:c>
      <x:c r="O2" s="5">
        <x:v>109.24541472849511</x:v>
      </x:c>
      <x:c r="P2" s="5">
        <x:v>6.8314270208041563</x:v>
      </x:c>
      <x:c r="Q2" s="5"/>
      <x:c r="R2" s="5">
        <x:v>93.89706253364146</x:v>
      </x:c>
      <x:c r="S2" s="5" t="n">
        <x:f t="shared" ref="S2:S65" si="0">O2*(R2-P2)/100</x:f>
        <x:v>95.11521460199903</x:v>
      </x:c>
      <x:c r="T2" s="5" t="n">
        <x:f t="shared" ref="T2:T65" si="1">O2*(R2-IF(Q2="",P2,Q2))/100</x:f>
        <x:v>95.11521460199903</x:v>
      </x:c>
      <x:c r="U2" s="5" t="e">
        <x:f>T2/[1]Model_Parameters!$B$22</x:f>
        <x:v>#NAME?</x:v>
      </x:c>
      <x:c r="V2" s="5">
        <x:v>302.1222920542549</x:v>
      </x:c>
      <x:c r="W2" s="5">
        <x:v>302.1222920542549</x:v>
      </x:c>
      <x:c r="X2" s="5">
        <x:v>92.214238909373961</x:v>
      </x:c>
      <x:c r="Y2" s="3">
        <x:v>0</x:v>
      </x:c>
      <x:c r="Z2" s="3">
        <x:v>0</x:v>
      </x:c>
      <x:c r="AA2" s="3"/>
      <x:c r="AB2" s="2"/>
      <x:c r="AC2" s="3"/>
      <x:c r="AD2" s="3"/>
      <x:c r="AE2" s="2" t="s">
        <x:v>65</x:v>
      </x:c>
      <x:c r="AF2" s="3">
        <x:v>8</x:v>
      </x:c>
      <x:c r="AG2" s="3">
        <x:v>0</x:v>
      </x:c>
      <x:c r="AH2" s="2" t="s">
        <x:v>64</x:v>
      </x:c>
      <x:c r="AI2" s="3">
        <x:v>8</x:v>
      </x:c>
      <x:c r="AJ2" s="3">
        <x:v>0</x:v>
      </x:c>
      <x:c r="AK2" s="2" t="s">
        <x:v>66</x:v>
      </x:c>
      <x:c r="AL2" s="3">
        <x:v>0</x:v>
      </x:c>
      <x:c r="AM2" s="2" t="s">
        <x:v>67</x:v>
      </x:c>
      <x:c r="AN2" s="3">
        <x:v>10</x:v>
      </x:c>
      <x:c r="AO2" s="3">
        <x:v>29</x:v>
      </x:c>
      <x:c r="AP2" s="3">
        <x:v>29</x:v>
      </x:c>
      <x:c r="AQ2" s="5">
        <x:v>103.1459086220688</x:v>
      </x:c>
      <x:c r="AR2" s="5">
        <x:v>95.115214601998986</x:v>
      </x:c>
      <x:c r="AS2" s="5" t="n">
        <x:f t="shared" ref="AS2:AS65" si="2">IF(S2=0,100,IFERROR(AR2/S2*100,0))</x:f>
        <x:v>99.99999999999996</x:v>
      </x:c>
      <x:c r="AT2" s="5">
        <x:v>213.40532818359051</x:v>
      </x:c>
      <x:c r="AU2" s="5">
        <x:v>302.1222920542549</x:v>
      </x:c>
      <x:c r="AV2" s="5">
        <x:v>93.89706253364146</x:v>
      </x:c>
      <x:c r="AW2" s="2" t="b">
        <x:v>0</x:v>
      </x:c>
      <x:c r="AX2" s="2"/>
      <x:c r="AY2" s="2" t="s">
        <x:v>68</x:v>
      </x:c>
      <x:c r="AZ2" s="6">
        <x:v>8</x:v>
      </x:c>
      <x:c r="BA2" s="6"/>
      <x:c r="BB2" s="7"/>
      <x:c r="BC2" s="7"/>
      <x:c r="BD2" s="8"/>
      <x:c r="BE2" s="2" t="e">
        <x:f>IF(AE2="Blocked","No",IF(AJ2&lt;=[1]Model_Parameters!$B$20,"Yes","No"))</x:f>
        <x:v>#NAME?</x:v>
      </x:c>
      <x:c r="BF2" s="2" t="str">
        <x:f t="shared" ref="BF2:BF65" si="3">IF(AK2="Completed","Yes","No")</x:f>
        <x:v>Yes</x:v>
      </x:c>
      <x:c r="BG2" s="2" t="e">
        <x:f t="shared" ref="BG2:BG65" si="4">IF(AND(BE2="Yes",BF2="Yes"),"Yes","No")</x:f>
        <x:v>#NAME?</x:v>
      </x:c>
      <x:c r="BH2" s="24"/>
      <x:c r="BI2" s="24"/>
    </x:row>
    <x:row r="3">
      <x:c r="A3" s="2" t="s">
        <x:v>59</x:v>
      </x:c>
      <x:c r="B3" s="3">
        <x:v>4</x:v>
      </x:c>
      <x:c r="C3" s="2" t="s">
        <x:v>69</x:v>
      </x:c>
      <x:c r="D3" s="2" t="s">
        <x:v>70</x:v>
      </x:c>
      <x:c r="E3" s="2" t="s">
        <x:v>71</x:v>
      </x:c>
      <x:c r="F3" s="2" t="s">
        <x:v>72</x:v>
      </x:c>
      <x:c r="G3" s="3">
        <x:v>1</x:v>
      </x:c>
      <x:c r="H3" s="3">
        <x:v>1</x:v>
      </x:c>
      <x:c r="I3" s="3">
        <x:v>130</x:v>
      </x:c>
      <x:c r="J3" s="4">
        <x:v>2.1750951604132679E-3</x:v>
      </x:c>
      <x:c r="K3" s="3">
        <x:v>0</x:v>
      </x:c>
      <x:c r="L3" s="2" t="s">
        <x:v>73</x:v>
      </x:c>
      <x:c r="M3" s="3">
        <x:v>134</x:v>
      </x:c>
      <x:c r="N3" s="3">
        <x:v>9</x:v>
      </x:c>
      <x:c r="O3" s="5">
        <x:v>121.0142900413729</x:v>
      </x:c>
      <x:c r="P3" s="5">
        <x:v>13.04156430504429</x:v>
      </x:c>
      <x:c r="Q3" s="5"/>
      <x:c r="R3" s="5">
        <x:v>75.139748537620719</x:v>
      </x:c>
      <x:c r="S3" s="5">
        <x:f t="shared" si="0"/>
        <x:v>75.147676777636136</x:v>
      </x:c>
      <x:c r="T3" s="5">
        <x:f t="shared" si="1"/>
        <x:v>75.147676777636136</x:v>
      </x:c>
      <x:c r="U3" s="5" t="e">
        <x:f>T3/[1]Model_Parameters!$B$22</x:f>
        <x:v>#NAME?</x:v>
      </x:c>
      <x:c r="V3" s="5">
        <x:v>333.71891983462513</x:v>
      </x:c>
      <x:c r="W3" s="5">
        <x:v>333.71891983462513</x:v>
      </x:c>
      <x:c r="X3" s="5">
        <x:v>94.525578142607415</x:v>
      </x:c>
      <x:c r="Y3" s="3">
        <x:v>1</x:v>
      </x:c>
      <x:c r="Z3" s="3">
        <x:v>0</x:v>
      </x:c>
      <x:c r="AA3" s="3"/>
      <x:c r="AB3" s="2"/>
      <x:c r="AC3" s="3"/>
      <x:c r="AD3" s="3"/>
      <x:c r="AE3" s="2" t="s">
        <x:v>65</x:v>
      </x:c>
      <x:c r="AF3" s="3">
        <x:v>9</x:v>
      </x:c>
      <x:c r="AG3" s="3">
        <x:v>0</x:v>
      </x:c>
      <x:c r="AH3" s="2" t="s">
        <x:v>73</x:v>
      </x:c>
      <x:c r="AI3" s="3">
        <x:v>9</x:v>
      </x:c>
      <x:c r="AJ3" s="3">
        <x:v>0</x:v>
      </x:c>
      <x:c r="AK3" s="2" t="s">
        <x:v>66</x:v>
      </x:c>
      <x:c r="AL3" s="3">
        <x:v>0</x:v>
      </x:c>
      <x:c r="AM3" s="2" t="s">
        <x:v>74</x:v>
      </x:c>
      <x:c r="AN3" s="3">
        <x:v>10</x:v>
      </x:c>
      <x:c r="AO3" s="3">
        <x:v>15</x:v>
      </x:c>
      <x:c r="AP3" s="3">
        <x:v>15</x:v>
      </x:c>
      <x:c r="AQ3" s="5">
        <x:v>79.499833012672454</x:v>
      </x:c>
      <x:c r="AR3" s="5">
        <x:v>75.147676777636136</x:v>
      </x:c>
      <x:c r="AS3" s="5">
        <x:f t="shared" si="2"/>
        <x:v>100</x:v>
      </x:c>
      <x:c r="AT3" s="5">
        <x:v>317.99933205068982</x:v>
      </x:c>
      <x:c r="AU3" s="5">
        <x:v>333.71891983462513</x:v>
      </x:c>
      <x:c r="AV3" s="5">
        <x:v>75.139748537620719</x:v>
      </x:c>
      <x:c r="AW3" s="2" t="b">
        <x:v>0</x:v>
      </x:c>
      <x:c r="AX3" s="2"/>
      <x:c r="AY3" s="2" t="s">
        <x:v>75</x:v>
      </x:c>
      <x:c r="AZ3" s="6">
        <x:v>9</x:v>
      </x:c>
      <x:c r="BA3" s="6"/>
      <x:c r="BB3" s="7"/>
      <x:c r="BC3" s="7"/>
      <x:c r="BD3" s="8"/>
      <x:c r="BE3" s="2" t="e">
        <x:f>IF(AE3="Blocked","No",IF(AJ3&lt;=[1]Model_Parameters!$B$20,"Yes","No"))</x:f>
        <x:v>#NAME?</x:v>
      </x:c>
      <x:c r="BF3" s="2" t="str">
        <x:f t="shared" si="3"/>
        <x:v>Yes</x:v>
      </x:c>
      <x:c r="BG3" s="2" t="str">
        <x:f t="shared" si="4"/>
        <x:v>Yes</x:v>
      </x:c>
      <x:c r="BH3" s="24"/>
      <x:c r="BI3" s="24"/>
    </x:row>
    <x:row r="4">
      <x:c r="A4" s="2" t="s">
        <x:v>59</x:v>
      </x:c>
      <x:c r="B4" s="3">
        <x:v>5</x:v>
      </x:c>
      <x:c r="C4" s="2" t="s">
        <x:v>76</x:v>
      </x:c>
      <x:c r="D4" s="2" t="s">
        <x:v>77</x:v>
      </x:c>
      <x:c r="E4" s="2" t="s">
        <x:v>62</x:v>
      </x:c>
      <x:c r="F4" s="2" t="s">
        <x:v>63</x:v>
      </x:c>
      <x:c r="G4" s="3">
        <x:v>2</x:v>
      </x:c>
      <x:c r="H4" s="3">
        <x:v>1</x:v>
      </x:c>
      <x:c r="I4" s="3">
        <x:v>20</x:v>
      </x:c>
      <x:c r="J4" s="4">
        <x:v>7.2016460905349799E-2</x:v>
      </x:c>
      <x:c r="K4" s="3">
        <x:v>0</x:v>
      </x:c>
      <x:c r="L4" s="2" t="s">
        <x:v>78</x:v>
      </x:c>
      <x:c r="M4" s="3">
        <x:v>143</x:v>
      </x:c>
      <x:c r="N4" s="3">
        <x:v>10</x:v>
      </x:c>
      <x:c r="O4" s="5">
        <x:v>121.04409499210669</x:v>
      </x:c>
      <x:c r="P4" s="5">
        <x:v>1.098470120487929</x:v>
      </x:c>
      <x:c r="Q4" s="5"/>
      <x:c r="R4" s="5">
        <x:v>69.618360015067651</x:v>
      </x:c>
      <x:c r="S4" s="5">
        <x:f t="shared" si="0"/>
        <x:v>82.939280612481994</x:v>
      </x:c>
      <x:c r="T4" s="5">
        <x:f t="shared" si="1"/>
        <x:v>82.939280612481994</x:v>
      </x:c>
      <x:c r="U4" s="5" t="e">
        <x:f>T4/[1]Model_Parameters!$B$22</x:f>
        <x:v>#NAME?</x:v>
      </x:c>
      <x:c r="V4" s="5">
        <x:v>339.8704621364609</x:v>
      </x:c>
      <x:c r="W4" s="5">
        <x:v>339.8704621364609</x:v>
      </x:c>
      <x:c r="X4" s="5">
        <x:v>93.07246763929983</x:v>
      </x:c>
      <x:c r="Y4" s="3">
        <x:v>1</x:v>
      </x:c>
      <x:c r="Z4" s="3">
        <x:v>0</x:v>
      </x:c>
      <x:c r="AA4" s="3"/>
      <x:c r="AB4" s="2"/>
      <x:c r="AC4" s="3"/>
      <x:c r="AD4" s="3"/>
      <x:c r="AE4" s="2" t="s">
        <x:v>65</x:v>
      </x:c>
      <x:c r="AF4" s="3">
        <x:v>10</x:v>
      </x:c>
      <x:c r="AG4" s="3">
        <x:v>0</x:v>
      </x:c>
      <x:c r="AH4" s="2" t="s">
        <x:v>78</x:v>
      </x:c>
      <x:c r="AI4" s="3">
        <x:v>10</x:v>
      </x:c>
      <x:c r="AJ4" s="3">
        <x:v>0</x:v>
      </x:c>
      <x:c r="AK4" s="2" t="s">
        <x:v>66</x:v>
      </x:c>
      <x:c r="AL4" s="3">
        <x:v>0</x:v>
      </x:c>
      <x:c r="AM4" s="2" t="s">
        <x:v>79</x:v>
      </x:c>
      <x:c r="AN4" s="3">
        <x:v>11</x:v>
      </x:c>
      <x:c r="AO4" s="3">
        <x:v>16</x:v>
      </x:c>
      <x:c r="AP4" s="3">
        <x:v>16</x:v>
      </x:c>
      <x:c r="AQ4" s="5">
        <x:v>89.112583684695281</x:v>
      </x:c>
      <x:c r="AR4" s="5">
        <x:v>82.93928061248198</x:v>
      </x:c>
      <x:c r="AS4" s="5">
        <x:f t="shared" si="2"/>
        <x:v>99.999999999999972</x:v>
      </x:c>
      <x:c r="AT4" s="5">
        <x:v>334.17218881760732</x:v>
      </x:c>
      <x:c r="AU4" s="5">
        <x:v>339.87046213646101</x:v>
      </x:c>
      <x:c r="AV4" s="5">
        <x:v>69.618360015067651</x:v>
      </x:c>
      <x:c r="AW4" s="2" t="b">
        <x:v>0</x:v>
      </x:c>
      <x:c r="AX4" s="2"/>
      <x:c r="AY4" s="2" t="s">
        <x:v>68</x:v>
      </x:c>
      <x:c r="AZ4" s="6">
        <x:v>10</x:v>
      </x:c>
      <x:c r="BA4" s="6"/>
      <x:c r="BB4" s="7"/>
      <x:c r="BC4" s="7"/>
      <x:c r="BD4" s="8"/>
      <x:c r="BE4" s="2" t="e">
        <x:f>IF(AE4="Blocked","No",IF(AJ4&lt;=[1]Model_Parameters!$B$20,"Yes","No"))</x:f>
        <x:v>#NAME?</x:v>
      </x:c>
      <x:c r="BF4" s="2" t="str">
        <x:f t="shared" si="3"/>
        <x:v>Yes</x:v>
      </x:c>
      <x:c r="BG4" s="2" t="str">
        <x:f t="shared" si="4"/>
        <x:v>Yes</x:v>
      </x:c>
      <x:c r="BH4" s="24"/>
      <x:c r="BI4" s="24"/>
    </x:row>
    <x:row r="5">
      <x:c r="A5" s="2" t="s">
        <x:v>59</x:v>
      </x:c>
      <x:c r="B5" s="3">
        <x:v>6</x:v>
      </x:c>
      <x:c r="C5" s="2" t="s">
        <x:v>80</x:v>
      </x:c>
      <x:c r="D5" s="2" t="s">
        <x:v>81</x:v>
      </x:c>
      <x:c r="E5" s="2" t="s">
        <x:v>71</x:v>
      </x:c>
      <x:c r="F5" s="2" t="s">
        <x:v>72</x:v>
      </x:c>
      <x:c r="G5" s="3">
        <x:v>2</x:v>
      </x:c>
      <x:c r="H5" s="3">
        <x:v>1</x:v>
      </x:c>
      <x:c r="I5" s="3">
        <x:v>130</x:v>
      </x:c>
      <x:c r="J5" s="4">
        <x:v>2.1750951604132679E-3</x:v>
      </x:c>
      <x:c r="K5" s="3">
        <x:v>0</x:v>
      </x:c>
      <x:c r="L5" s="2" t="s">
        <x:v>82</x:v>
      </x:c>
      <x:c r="M5" s="3">
        <x:v>155</x:v>
      </x:c>
      <x:c r="N5" s="3">
        <x:v>11</x:v>
      </x:c>
      <x:c r="O5" s="5">
        <x:v>107.4068301835333</x:v>
      </x:c>
      <x:c r="P5" s="5">
        <x:v>45.480491675025078</x:v>
      </x:c>
      <x:c r="Q5" s="5"/>
      <x:c r="R5" s="5">
        <x:v>65.180258365614492</x:v>
      </x:c>
      <x:c r="S5" s="5">
        <x:f t="shared" si="0"/>
        <x:v>21.158894955913627</x:v>
      </x:c>
      <x:c r="T5" s="5">
        <x:f t="shared" si="1"/>
        <x:v>21.158894955913627</x:v>
      </x:c>
      <x:c r="U5" s="5" t="e">
        <x:f>T5/[1]Model_Parameters!$B$22</x:f>
        <x:v>#NAME?</x:v>
      </x:c>
      <x:c r="V5" s="5">
        <x:v>345.50278773588587</x:v>
      </x:c>
      <x:c r="W5" s="5">
        <x:v>345.50278773588587</x:v>
      </x:c>
      <x:c r="X5" s="5">
        <x:v>94.961043282172838</x:v>
      </x:c>
      <x:c r="Y5" s="3">
        <x:v>1</x:v>
      </x:c>
      <x:c r="Z5" s="3">
        <x:v>0</x:v>
      </x:c>
      <x:c r="AA5" s="3"/>
      <x:c r="AB5" s="2"/>
      <x:c r="AC5" s="3"/>
      <x:c r="AD5" s="3"/>
      <x:c r="AE5" s="2" t="s">
        <x:v>65</x:v>
      </x:c>
      <x:c r="AF5" s="3">
        <x:v>1</x:v>
      </x:c>
      <x:c r="AG5" s="3">
        <x:v>0</x:v>
      </x:c>
      <x:c r="AH5" s="2" t="s">
        <x:v>82</x:v>
      </x:c>
      <x:c r="AI5" s="3">
        <x:v>11</x:v>
      </x:c>
      <x:c r="AJ5" s="3">
        <x:v>0</x:v>
      </x:c>
      <x:c r="AK5" s="2" t="s">
        <x:v>66</x:v>
      </x:c>
      <x:c r="AL5" s="3">
        <x:v>0</x:v>
      </x:c>
      <x:c r="AM5" s="2" t="s">
        <x:v>79</x:v>
      </x:c>
      <x:c r="AN5" s="3">
        <x:v>11</x:v>
      </x:c>
      <x:c r="AO5" s="3">
        <x:v>4</x:v>
      </x:c>
      <x:c r="AP5" s="3">
        <x:v>4</x:v>
      </x:c>
      <x:c r="AQ5" s="5">
        <x:v>22.28165806165466</x:v>
      </x:c>
      <x:c r="AR5" s="5">
        <x:v>21.158894955913631</x:v>
      </x:c>
      <x:c r="AS5" s="5">
        <x:f t="shared" si="2"/>
        <x:v>100.00000000000003</x:v>
      </x:c>
      <x:c r="AT5" s="5">
        <x:v>334.22487092481992</x:v>
      </x:c>
      <x:c r="AU5" s="5">
        <x:v>345.50278773588587</x:v>
      </x:c>
      <x:c r="AV5" s="5">
        <x:v>65.180258365614492</x:v>
      </x:c>
      <x:c r="AW5" s="2" t="b">
        <x:v>0</x:v>
      </x:c>
      <x:c r="AX5" s="2"/>
      <x:c r="AY5" s="2" t="s">
        <x:v>75</x:v>
      </x:c>
      <x:c r="AZ5" s="6">
        <x:v>11</x:v>
      </x:c>
      <x:c r="BA5" s="6"/>
      <x:c r="BB5" s="7"/>
      <x:c r="BC5" s="7"/>
      <x:c r="BD5" s="8"/>
      <x:c r="BE5" s="2" t="e">
        <x:f>IF(AE5="Blocked","No",IF(AJ5&lt;=[1]Model_Parameters!$B$20,"Yes","No"))</x:f>
        <x:v>#NAME?</x:v>
      </x:c>
      <x:c r="BF5" s="2" t="str">
        <x:f t="shared" si="3"/>
        <x:v>Yes</x:v>
      </x:c>
      <x:c r="BG5" s="2" t="str">
        <x:f t="shared" si="4"/>
        <x:v>Yes</x:v>
      </x:c>
      <x:c r="BH5" s="24"/>
      <x:c r="BI5" s="24"/>
    </x:row>
    <x:row r="6">
      <x:c r="A6" s="2" t="s">
        <x:v>59</x:v>
      </x:c>
      <x:c r="B6" s="3">
        <x:v>7</x:v>
      </x:c>
      <x:c r="C6" s="2" t="s">
        <x:v>83</x:v>
      </x:c>
      <x:c r="D6" s="2" t="s">
        <x:v>84</x:v>
      </x:c>
      <x:c r="E6" s="2" t="s">
        <x:v>71</x:v>
      </x:c>
      <x:c r="F6" s="2" t="s">
        <x:v>72</x:v>
      </x:c>
      <x:c r="G6" s="3">
        <x:v>3</x:v>
      </x:c>
      <x:c r="H6" s="3">
        <x:v>1</x:v>
      </x:c>
      <x:c r="I6" s="3">
        <x:v>130</x:v>
      </x:c>
      <x:c r="J6" s="4">
        <x:v>4.3501903208265367E-3</x:v>
      </x:c>
      <x:c r="K6" s="3">
        <x:v>0</x:v>
      </x:c>
      <x:c r="L6" s="2" t="s">
        <x:v>85</x:v>
      </x:c>
      <x:c r="M6" s="3">
        <x:v>194</x:v>
      </x:c>
      <x:c r="N6" s="3">
        <x:v>13</x:v>
      </x:c>
      <x:c r="O6" s="5">
        <x:v>73.252155636226135</x:v>
      </x:c>
      <x:c r="P6" s="5">
        <x:v>83.981496931829739</x:v>
      </x:c>
      <x:c r="Q6" s="5"/>
      <x:c r="R6" s="5">
        <x:v>95.718249246539969</x:v>
      </x:c>
      <x:c r="S6" s="5">
        <x:f t="shared" si="0"/>
        <x:v>8.5974240722099111</x:v>
      </x:c>
      <x:c r="T6" s="5">
        <x:f t="shared" si="1"/>
        <x:v>8.5974240722099111</x:v>
      </x:c>
      <x:c r="U6" s="5" t="e">
        <x:f>T6/[1]Model_Parameters!$B$22</x:f>
        <x:v>#NAME?</x:v>
      </x:c>
      <x:c r="V6" s="5">
        <x:v>271.77054936667702</x:v>
      </x:c>
      <x:c r="W6" s="5">
        <x:v>271.77054936667702</x:v>
      </x:c>
      <x:c r="X6" s="5">
        <x:v>94.559490207053614</x:v>
      </x:c>
      <x:c r="Y6" s="3">
        <x:v>0</x:v>
      </x:c>
      <x:c r="Z6" s="3">
        <x:v>0</x:v>
      </x:c>
      <x:c r="AA6" s="3"/>
      <x:c r="AB6" s="2"/>
      <x:c r="AC6" s="3"/>
      <x:c r="AD6" s="3"/>
      <x:c r="AE6" s="2" t="s">
        <x:v>65</x:v>
      </x:c>
      <x:c r="AF6" s="3">
        <x:v>2</x:v>
      </x:c>
      <x:c r="AG6" s="3">
        <x:v>0</x:v>
      </x:c>
      <x:c r="AH6" s="2" t="s">
        <x:v>85</x:v>
      </x:c>
      <x:c r="AI6" s="3">
        <x:v>13</x:v>
      </x:c>
      <x:c r="AJ6" s="3">
        <x:v>0</x:v>
      </x:c>
      <x:c r="AK6" s="2" t="s">
        <x:v>66</x:v>
      </x:c>
      <x:c r="AL6" s="3">
        <x:v>0</x:v>
      </x:c>
      <x:c r="AM6" s="2" t="s">
        <x:v>86</x:v>
      </x:c>
      <x:c r="AN6" s="3">
        <x:v>14</x:v>
      </x:c>
      <x:c r="AO6" s="3">
        <x:v>8</x:v>
      </x:c>
      <x:c r="AP6" s="3">
        <x:v>8</x:v>
      </x:c>
      <x:c r="AQ6" s="5">
        <x:v>9.092079550539486</x:v>
      </x:c>
      <x:c r="AR6" s="5">
        <x:v>8.5974240722099076</x:v>
      </x:c>
      <x:c r="AS6" s="5">
        <x:f t="shared" si="2"/>
        <x:v>99.999999999999957</x:v>
      </x:c>
      <x:c r="AT6" s="5">
        <x:v>68.190596629046141</x:v>
      </x:c>
      <x:c r="AU6" s="5">
        <x:v>139.15077105551771</x:v>
      </x:c>
      <x:c r="AV6" s="5">
        <x:v>95.718249246539969</x:v>
      </x:c>
      <x:c r="AW6" s="2" t="b">
        <x:v>0</x:v>
      </x:c>
      <x:c r="AX6" s="2"/>
      <x:c r="AY6" s="2" t="s">
        <x:v>75</x:v>
      </x:c>
      <x:c r="AZ6" s="6">
        <x:v>13</x:v>
      </x:c>
      <x:c r="BA6" s="6"/>
      <x:c r="BB6" s="7"/>
      <x:c r="BC6" s="7"/>
      <x:c r="BD6" s="8"/>
      <x:c r="BE6" s="2" t="e">
        <x:f>IF(AE6="Blocked","No",IF(AJ6&lt;=[1]Model_Parameters!$B$20,"Yes","No"))</x:f>
        <x:v>#NAME?</x:v>
      </x:c>
      <x:c r="BF6" s="2" t="str">
        <x:f t="shared" si="3"/>
        <x:v>Yes</x:v>
      </x:c>
      <x:c r="BG6" s="2" t="str">
        <x:f t="shared" si="4"/>
        <x:v>Yes</x:v>
      </x:c>
      <x:c r="BH6" s="24"/>
      <x:c r="BI6" s="24"/>
    </x:row>
    <x:row r="7">
      <x:c r="A7" s="2" t="s">
        <x:v>59</x:v>
      </x:c>
      <x:c r="B7" s="3">
        <x:v>9</x:v>
      </x:c>
      <x:c r="C7" s="2" t="s">
        <x:v>87</x:v>
      </x:c>
      <x:c r="D7" s="2" t="s">
        <x:v>88</x:v>
      </x:c>
      <x:c r="E7" s="2" t="s">
        <x:v>71</x:v>
      </x:c>
      <x:c r="F7" s="2" t="s">
        <x:v>72</x:v>
      </x:c>
      <x:c r="G7" s="3">
        <x:v>4</x:v>
      </x:c>
      <x:c r="H7" s="3">
        <x:v>1</x:v>
      </x:c>
      <x:c r="I7" s="3">
        <x:v>130</x:v>
      </x:c>
      <x:c r="J7" s="4">
        <x:v>4.3501903208265367E-3</x:v>
      </x:c>
      <x:c r="K7" s="3">
        <x:v>0</x:v>
      </x:c>
      <x:c r="L7" s="2" t="s">
        <x:v>89</x:v>
      </x:c>
      <x:c r="M7" s="3">
        <x:v>238</x:v>
      </x:c>
      <x:c r="N7" s="3">
        <x:v>16</x:v>
      </x:c>
      <x:c r="O7" s="5">
        <x:v>108.6377816958351</x:v>
      </x:c>
      <x:c r="P7" s="5">
        <x:v>54.59704730036394</x:v>
      </x:c>
      <x:c r="Q7" s="5"/>
      <x:c r="R7" s="5">
        <x:v>78.8952719211035</x:v>
      </x:c>
      <x:c r="S7" s="5">
        <x:f t="shared" si="0"/>
        <x:v>26.397052219442699</x:v>
      </x:c>
      <x:c r="T7" s="5">
        <x:f t="shared" si="1"/>
        <x:v>26.397052219442699</x:v>
      </x:c>
      <x:c r="U7" s="5" t="e">
        <x:f>T7/[1]Model_Parameters!$B$22</x:f>
        <x:v>#NAME?</x:v>
      </x:c>
      <x:c r="V7" s="5">
        <x:v>162.58324019784601</x:v>
      </x:c>
      <x:c r="W7" s="5">
        <x:v>162.58324019784601</x:v>
      </x:c>
      <x:c r="X7" s="5">
        <x:v>94.262777848308758</x:v>
      </x:c>
      <x:c r="Y7" s="3">
        <x:v>1</x:v>
      </x:c>
      <x:c r="Z7" s="3">
        <x:v>0</x:v>
      </x:c>
      <x:c r="AA7" s="3"/>
      <x:c r="AB7" s="2"/>
      <x:c r="AC7" s="3"/>
      <x:c r="AD7" s="3"/>
      <x:c r="AE7" s="2" t="s">
        <x:v>65</x:v>
      </x:c>
      <x:c r="AF7" s="3">
        <x:v>4</x:v>
      </x:c>
      <x:c r="AG7" s="3">
        <x:v>0</x:v>
      </x:c>
      <x:c r="AH7" s="2" t="s">
        <x:v>89</x:v>
      </x:c>
      <x:c r="AI7" s="3">
        <x:v>16</x:v>
      </x:c>
      <x:c r="AJ7" s="3">
        <x:v>0</x:v>
      </x:c>
      <x:c r="AK7" s="2" t="s">
        <x:v>66</x:v>
      </x:c>
      <x:c r="AL7" s="3">
        <x:v>0</x:v>
      </x:c>
      <x:c r="AM7" s="2" t="s">
        <x:v>90</x:v>
      </x:c>
      <x:c r="AN7" s="3">
        <x:v>17</x:v>
      </x:c>
      <x:c r="AO7" s="3">
        <x:v>12</x:v>
      </x:c>
      <x:c r="AP7" s="3">
        <x:v>12</x:v>
      </x:c>
      <x:c r="AQ7" s="5">
        <x:v>28.00368588959029</x:v>
      </x:c>
      <x:c r="AR7" s="5">
        <x:v>26.397052219442688</x:v>
      </x:c>
      <x:c r="AS7" s="5">
        <x:f t="shared" si="2"/>
        <x:v>99.999999999999957</x:v>
      </x:c>
      <x:c r="AT7" s="5">
        <x:v>140.01842944795149</x:v>
      </x:c>
      <x:c r="AU7" s="5">
        <x:v>162.58324019784601</x:v>
      </x:c>
      <x:c r="AV7" s="5">
        <x:v>78.8952719211035</x:v>
      </x:c>
      <x:c r="AW7" s="2" t="b">
        <x:v>0</x:v>
      </x:c>
      <x:c r="AX7" s="2"/>
      <x:c r="AY7" s="2" t="s">
        <x:v>75</x:v>
      </x:c>
      <x:c r="AZ7" s="6">
        <x:v>16</x:v>
      </x:c>
      <x:c r="BA7" s="6"/>
      <x:c r="BB7" s="7"/>
      <x:c r="BC7" s="7"/>
      <x:c r="BD7" s="8"/>
      <x:c r="BE7" s="2" t="e">
        <x:f>IF(AE7="Blocked","No",IF(AJ7&lt;=[1]Model_Parameters!$B$20,"Yes","No"))</x:f>
        <x:v>#NAME?</x:v>
      </x:c>
      <x:c r="BF7" s="2" t="str">
        <x:f t="shared" si="3"/>
        <x:v>Yes</x:v>
      </x:c>
      <x:c r="BG7" s="2" t="str">
        <x:f t="shared" si="4"/>
        <x:v>Yes</x:v>
      </x:c>
      <x:c r="BH7" s="24"/>
      <x:c r="BI7" s="24"/>
    </x:row>
    <x:row r="8">
      <x:c r="A8" s="2" t="s">
        <x:v>59</x:v>
      </x:c>
      <x:c r="B8" s="3">
        <x:v>10</x:v>
      </x:c>
      <x:c r="C8" s="2" t="s">
        <x:v>91</x:v>
      </x:c>
      <x:c r="D8" s="2" t="s">
        <x:v>92</x:v>
      </x:c>
      <x:c r="E8" s="2" t="s">
        <x:v>71</x:v>
      </x:c>
      <x:c r="F8" s="2" t="s">
        <x:v>72</x:v>
      </x:c>
      <x:c r="G8" s="3">
        <x:v>5</x:v>
      </x:c>
      <x:c r="H8" s="3">
        <x:v>1</x:v>
      </x:c>
      <x:c r="I8" s="3">
        <x:v>130</x:v>
      </x:c>
      <x:c r="J8" s="4">
        <x:v>8.7003806416530733E-3</x:v>
      </x:c>
      <x:c r="K8" s="3">
        <x:v>0</x:v>
      </x:c>
      <x:c r="L8" s="2" t="s">
        <x:v>93</x:v>
      </x:c>
      <x:c r="M8" s="3">
        <x:v>243</x:v>
      </x:c>
      <x:c r="N8" s="3">
        <x:v>17</x:v>
      </x:c>
      <x:c r="O8" s="5">
        <x:v>52.919406658723247</x:v>
      </x:c>
      <x:c r="P8" s="5">
        <x:v>17.041847897240519</x:v>
      </x:c>
      <x:c r="Q8" s="5"/>
      <x:c r="R8" s="5">
        <x:v>81.174818132641789</x:v>
      </x:c>
      <x:c r="S8" s="5">
        <x:f t="shared" si="0"/>
        <x:v>33.938787321189942</x:v>
      </x:c>
      <x:c r="T8" s="5">
        <x:f t="shared" si="1"/>
        <x:v>33.938787321189942</x:v>
      </x:c>
      <x:c r="U8" s="5" t="e">
        <x:f>T8/[1]Model_Parameters!$B$22</x:f>
        <x:v>#NAME?</x:v>
      </x:c>
      <x:c r="V8" s="5">
        <x:v>154.7116030601571</x:v>
      </x:c>
      <x:c r="W8" s="5">
        <x:v>154.7116030601571</x:v>
      </x:c>
      <x:c r="X8" s="5">
        <x:v>91.869819581478112</x:v>
      </x:c>
      <x:c r="Y8" s="3">
        <x:v>2</x:v>
      </x:c>
      <x:c r="Z8" s="3">
        <x:v>0</x:v>
      </x:c>
      <x:c r="AA8" s="3"/>
      <x:c r="AB8" s="2"/>
      <x:c r="AC8" s="3"/>
      <x:c r="AD8" s="3"/>
      <x:c r="AE8" s="2" t="s">
        <x:v>65</x:v>
      </x:c>
      <x:c r="AF8" s="3">
        <x:v>5</x:v>
      </x:c>
      <x:c r="AG8" s="3">
        <x:v>0</x:v>
      </x:c>
      <x:c r="AH8" s="2" t="s">
        <x:v>93</x:v>
      </x:c>
      <x:c r="AI8" s="3">
        <x:v>17</x:v>
      </x:c>
      <x:c r="AJ8" s="3">
        <x:v>0</x:v>
      </x:c>
      <x:c r="AK8" s="2" t="s">
        <x:v>66</x:v>
      </x:c>
      <x:c r="AL8" s="3">
        <x:v>0</x:v>
      </x:c>
      <x:c r="AM8" s="2" t="s">
        <x:v>94</x:v>
      </x:c>
      <x:c r="AN8" s="3">
        <x:v>18</x:v>
      </x:c>
      <x:c r="AO8" s="3">
        <x:v>16</x:v>
      </x:c>
      <x:c r="AP8" s="3">
        <x:v>16</x:v>
      </x:c>
      <x:c r="AQ8" s="5">
        <x:v>36.942259684193772</x:v>
      </x:c>
      <x:c r="AR8" s="5">
        <x:v>33.938787321189949</x:v>
      </x:c>
      <x:c r="AS8" s="5">
        <x:f t="shared" si="2"/>
        <x:v>100.00000000000003</x:v>
      </x:c>
      <x:c r="AT8" s="5">
        <x:v>138.53347381572661</x:v>
      </x:c>
      <x:c r="AU8" s="5">
        <x:v>154.71160306015699</x:v>
      </x:c>
      <x:c r="AV8" s="5">
        <x:v>81.174818132641789</x:v>
      </x:c>
      <x:c r="AW8" s="2" t="b">
        <x:v>0</x:v>
      </x:c>
      <x:c r="AX8" s="2"/>
      <x:c r="AY8" s="2" t="s">
        <x:v>75</x:v>
      </x:c>
      <x:c r="AZ8" s="6">
        <x:v>17</x:v>
      </x:c>
      <x:c r="BA8" s="6"/>
      <x:c r="BB8" s="7"/>
      <x:c r="BC8" s="7"/>
      <x:c r="BD8" s="8"/>
      <x:c r="BE8" s="2" t="e">
        <x:f>IF(AE8="Blocked","No",IF(AJ8&lt;=[1]Model_Parameters!$B$20,"Yes","No"))</x:f>
        <x:v>#NAME?</x:v>
      </x:c>
      <x:c r="BF8" s="2" t="str">
        <x:f t="shared" si="3"/>
        <x:v>Yes</x:v>
      </x:c>
      <x:c r="BG8" s="2" t="str">
        <x:f t="shared" si="4"/>
        <x:v>Yes</x:v>
      </x:c>
      <x:c r="BH8" s="24"/>
      <x:c r="BI8" s="24"/>
    </x:row>
    <x:row r="9">
      <x:c r="A9" s="2" t="s">
        <x:v>59</x:v>
      </x:c>
      <x:c r="B9" s="3">
        <x:v>11</x:v>
      </x:c>
      <x:c r="C9" s="2" t="s">
        <x:v>95</x:v>
      </x:c>
      <x:c r="D9" s="2" t="s">
        <x:v>96</x:v>
      </x:c>
      <x:c r="E9" s="2" t="s">
        <x:v>71</x:v>
      </x:c>
      <x:c r="F9" s="2" t="s">
        <x:v>72</x:v>
      </x:c>
      <x:c r="G9" s="3">
        <x:v>6</x:v>
      </x:c>
      <x:c r="H9" s="3">
        <x:v>1</x:v>
      </x:c>
      <x:c r="I9" s="3">
        <x:v>130</x:v>
      </x:c>
      <x:c r="J9" s="4">
        <x:v>8.7003806416530733E-3</x:v>
      </x:c>
      <x:c r="K9" s="3">
        <x:v>0</x:v>
      </x:c>
      <x:c r="L9" s="2" t="s">
        <x:v>97</x:v>
      </x:c>
      <x:c r="M9" s="3">
        <x:v>271</x:v>
      </x:c>
      <x:c r="N9" s="3">
        <x:v>19</x:v>
      </x:c>
      <x:c r="O9" s="5">
        <x:v>134.87698380407909</x:v>
      </x:c>
      <x:c r="P9" s="5">
        <x:v>24.93742609593593</x:v>
      </x:c>
      <x:c r="Q9" s="5"/>
      <x:c r="R9" s="5">
        <x:v>65.944396598370545</x:v>
      </x:c>
      <x:c r="S9" s="5">
        <x:f t="shared" si="0"/>
        <x:v>55.308964963112224</x:v>
      </x:c>
      <x:c r="T9" s="5">
        <x:f t="shared" si="1"/>
        <x:v>55.308964963112224</x:v>
      </x:c>
      <x:c r="U9" s="5" t="e">
        <x:f>T9/[1]Model_Parameters!$B$22</x:f>
        <x:v>#NAME?</x:v>
      </x:c>
      <x:c r="V9" s="5">
        <x:v>356.38364506783398</x:v>
      </x:c>
      <x:c r="W9" s="5">
        <x:v>356.38364506783398</x:v>
      </x:c>
      <x:c r="X9" s="5">
        <x:v>93.289753366900101</x:v>
      </x:c>
      <x:c r="Y9" s="3">
        <x:v>0</x:v>
      </x:c>
      <x:c r="Z9" s="3">
        <x:v>0</x:v>
      </x:c>
      <x:c r="AA9" s="3"/>
      <x:c r="AB9" s="2"/>
      <x:c r="AC9" s="3"/>
      <x:c r="AD9" s="3"/>
      <x:c r="AE9" s="2" t="s">
        <x:v>65</x:v>
      </x:c>
      <x:c r="AF9" s="3">
        <x:v>6</x:v>
      </x:c>
      <x:c r="AG9" s="3">
        <x:v>0</x:v>
      </x:c>
      <x:c r="AH9" s="2" t="s">
        <x:v>97</x:v>
      </x:c>
      <x:c r="AI9" s="3">
        <x:v>19</x:v>
      </x:c>
      <x:c r="AJ9" s="3">
        <x:v>0</x:v>
      </x:c>
      <x:c r="AK9" s="2" t="s">
        <x:v>66</x:v>
      </x:c>
      <x:c r="AL9" s="3">
        <x:v>0</x:v>
      </x:c>
      <x:c r="AM9" s="2" t="s">
        <x:v>98</x:v>
      </x:c>
      <x:c r="AN9" s="3">
        <x:v>19</x:v>
      </x:c>
      <x:c r="AO9" s="3">
        <x:v>10</x:v>
      </x:c>
      <x:c r="AP9" s="3">
        <x:v>10</x:v>
      </x:c>
      <x:c r="AQ9" s="5">
        <x:v>59.287288225092773</x:v>
      </x:c>
      <x:c r="AR9" s="5">
        <x:v>55.308964963112253</x:v>
      </x:c>
      <x:c r="AS9" s="5">
        <x:f t="shared" si="2"/>
        <x:v>100.00000000000004</x:v>
      </x:c>
      <x:c r="AT9" s="5">
        <x:v>355.7237293505566</x:v>
      </x:c>
      <x:c r="AU9" s="5">
        <x:v>356.38364506783398</x:v>
      </x:c>
      <x:c r="AV9" s="5">
        <x:v>65.944396598370545</x:v>
      </x:c>
      <x:c r="AW9" s="2" t="b">
        <x:v>0</x:v>
      </x:c>
      <x:c r="AX9" s="2"/>
      <x:c r="AY9" s="2" t="s">
        <x:v>75</x:v>
      </x:c>
      <x:c r="AZ9" s="6">
        <x:v>19</x:v>
      </x:c>
      <x:c r="BA9" s="6"/>
      <x:c r="BB9" s="7"/>
      <x:c r="BC9" s="7"/>
      <x:c r="BD9" s="8"/>
      <x:c r="BE9" s="2" t="e">
        <x:f>IF(AE9="Blocked","No",IF(AJ9&lt;=[1]Model_Parameters!$B$20,"Yes","No"))</x:f>
        <x:v>#NAME?</x:v>
      </x:c>
      <x:c r="BF9" s="2" t="str">
        <x:f t="shared" si="3"/>
        <x:v>Yes</x:v>
      </x:c>
      <x:c r="BG9" s="2" t="str">
        <x:f t="shared" si="4"/>
        <x:v>Yes</x:v>
      </x:c>
      <x:c r="BH9" s="24"/>
      <x:c r="BI9" s="24"/>
    </x:row>
    <x:row r="10">
      <x:c r="A10" s="2" t="s">
        <x:v>59</x:v>
      </x:c>
      <x:c r="B10" s="3">
        <x:v>13</x:v>
      </x:c>
      <x:c r="C10" s="2" t="s">
        <x:v>99</x:v>
      </x:c>
      <x:c r="D10" s="2" t="s">
        <x:v>100</x:v>
      </x:c>
      <x:c r="E10" s="2" t="s">
        <x:v>71</x:v>
      </x:c>
      <x:c r="F10" s="2" t="s">
        <x:v>72</x:v>
      </x:c>
      <x:c r="G10" s="3">
        <x:v>7</x:v>
      </x:c>
      <x:c r="H10" s="3">
        <x:v>1</x:v>
      </x:c>
      <x:c r="I10" s="3">
        <x:v>130</x:v>
      </x:c>
      <x:c r="J10" s="4">
        <x:v>8.7003806416530733E-3</x:v>
      </x:c>
      <x:c r="K10" s="3">
        <x:v>0</x:v>
      </x:c>
      <x:c r="L10" s="2" t="s">
        <x:v>101</x:v>
      </x:c>
      <x:c r="M10" s="3">
        <x:v>294</x:v>
      </x:c>
      <x:c r="N10" s="3">
        <x:v>20</x:v>
      </x:c>
      <x:c r="O10" s="5">
        <x:v>93.146888102734991</x:v>
      </x:c>
      <x:c r="P10" s="5">
        <x:v>44.614320785988838</x:v>
      </x:c>
      <x:c r="Q10" s="5"/>
      <x:c r="R10" s="5">
        <x:v>56.142486093958567</x:v>
      </x:c>
      <x:c r="S10" s="5">
        <x:f t="shared" si="0"/>
        <x:v>10.738127239712878</x:v>
      </x:c>
      <x:c r="T10" s="5">
        <x:f t="shared" si="1"/>
        <x:v>10.738127239712878</x:v>
      </x:c>
      <x:c r="U10" s="5" t="e">
        <x:f>T10/[1]Model_Parameters!$B$22</x:f>
        <x:v>#NAME?</x:v>
      </x:c>
      <x:c r="V10" s="5">
        <x:v>369.393215833515</x:v>
      </x:c>
      <x:c r="W10" s="5">
        <x:v>369.393215833515</x:v>
      </x:c>
      <x:c r="X10" s="5">
        <x:v>93.198241312697121</x:v>
      </x:c>
      <x:c r="Y10" s="3">
        <x:v>1</x:v>
      </x:c>
      <x:c r="Z10" s="3">
        <x:v>0</x:v>
      </x:c>
      <x:c r="AA10" s="3"/>
      <x:c r="AB10" s="2"/>
      <x:c r="AC10" s="3"/>
      <x:c r="AD10" s="3"/>
      <x:c r="AE10" s="2" t="s">
        <x:v>65</x:v>
      </x:c>
      <x:c r="AF10" s="3">
        <x:v>8</x:v>
      </x:c>
      <x:c r="AG10" s="3">
        <x:v>0</x:v>
      </x:c>
      <x:c r="AH10" s="2" t="s">
        <x:v>101</x:v>
      </x:c>
      <x:c r="AI10" s="3">
        <x:v>20</x:v>
      </x:c>
      <x:c r="AJ10" s="3">
        <x:v>0</x:v>
      </x:c>
      <x:c r="AK10" s="2" t="s">
        <x:v>66</x:v>
      </x:c>
      <x:c r="AL10" s="3">
        <x:v>0</x:v>
      </x:c>
      <x:c r="AM10" s="2" t="s">
        <x:v>102</x:v>
      </x:c>
      <x:c r="AN10" s="3">
        <x:v>20</x:v>
      </x:c>
      <x:c r="AO10" s="3">
        <x:v>2</x:v>
      </x:c>
      <x:c r="AP10" s="3">
        <x:v>2</x:v>
      </x:c>
      <x:c r="AQ10" s="5">
        <x:v>11.521813167787689</x:v>
      </x:c>
      <x:c r="AR10" s="5">
        <x:v>10.73812723971289</x:v>
      </x:c>
      <x:c r="AS10" s="5">
        <x:f t="shared" si="2"/>
        <x:v>100.00000000000011</x:v>
      </x:c>
      <x:c r="AT10" s="5">
        <x:v>345.65439503363092</x:v>
      </x:c>
      <x:c r="AU10" s="5">
        <x:v>369.39321583351511</x:v>
      </x:c>
      <x:c r="AV10" s="5">
        <x:v>56.142486093958567</x:v>
      </x:c>
      <x:c r="AW10" s="2" t="b">
        <x:v>0</x:v>
      </x:c>
      <x:c r="AX10" s="2"/>
      <x:c r="AY10" s="2" t="s">
        <x:v>75</x:v>
      </x:c>
      <x:c r="AZ10" s="6">
        <x:v>20</x:v>
      </x:c>
      <x:c r="BA10" s="6"/>
      <x:c r="BB10" s="7"/>
      <x:c r="BC10" s="7"/>
      <x:c r="BD10" s="8"/>
      <x:c r="BE10" s="2" t="e">
        <x:f>IF(AE10="Blocked","No",IF(AJ10&lt;=[1]Model_Parameters!$B$20,"Yes","No"))</x:f>
        <x:v>#NAME?</x:v>
      </x:c>
      <x:c r="BF10" s="2" t="str">
        <x:f t="shared" si="3"/>
        <x:v>Yes</x:v>
      </x:c>
      <x:c r="BG10" s="2" t="str">
        <x:f t="shared" si="4"/>
        <x:v>Yes</x:v>
      </x:c>
      <x:c r="BH10" s="24"/>
      <x:c r="BI10" s="24"/>
    </x:row>
    <x:row r="11">
      <x:c r="A11" s="2" t="s">
        <x:v>59</x:v>
      </x:c>
      <x:c r="B11" s="3">
        <x:v>14</x:v>
      </x:c>
      <x:c r="C11" s="2" t="s">
        <x:v>103</x:v>
      </x:c>
      <x:c r="D11" s="2" t="s">
        <x:v>104</x:v>
      </x:c>
      <x:c r="E11" s="2" t="s">
        <x:v>71</x:v>
      </x:c>
      <x:c r="F11" s="2" t="s">
        <x:v>72</x:v>
      </x:c>
      <x:c r="G11" s="3">
        <x:v>8</x:v>
      </x:c>
      <x:c r="H11" s="3">
        <x:v>1</x:v>
      </x:c>
      <x:c r="I11" s="3">
        <x:v>130</x:v>
      </x:c>
      <x:c r="J11" s="4">
        <x:v>8.1566068515497567E-2</x:v>
      </x:c>
      <x:c r="K11" s="3">
        <x:v>0</x:v>
      </x:c>
      <x:c r="L11" s="2" t="s">
        <x:v>105</x:v>
      </x:c>
      <x:c r="M11" s="3">
        <x:v>301</x:v>
      </x:c>
      <x:c r="N11" s="3">
        <x:v>21</x:v>
      </x:c>
      <x:c r="O11" s="5">
        <x:v>78.604417302047963</x:v>
      </x:c>
      <x:c r="P11" s="5">
        <x:v>40.412223274230058</x:v>
      </x:c>
      <x:c r="Q11" s="5"/>
      <x:c r="R11" s="5">
        <x:v>88.671215371253311</x:v>
      </x:c>
      <x:c r="S11" s="5">
        <x:f t="shared" si="0"/>
        <x:v>37.933699533706502</x:v>
      </x:c>
      <x:c r="T11" s="5">
        <x:f t="shared" si="1"/>
        <x:v>37.933699533706502</x:v>
      </x:c>
      <x:c r="U11" s="5" t="e">
        <x:f>T11/[1]Model_Parameters!$B$22</x:f>
        <x:v>#NAME?</x:v>
      </x:c>
      <x:c r="V11" s="5">
        <x:v>175.7102528539202</x:v>
      </x:c>
      <x:c r="W11" s="5">
        <x:v>175.7102528539202</x:v>
      </x:c>
      <x:c r="X11" s="5">
        <x:v>90.732585986600483</x:v>
      </x:c>
      <x:c r="Y11" s="3">
        <x:v>0</x:v>
      </x:c>
      <x:c r="Z11" s="3">
        <x:v>0</x:v>
      </x:c>
      <x:c r="AA11" s="3"/>
      <x:c r="AB11" s="2"/>
      <x:c r="AC11" s="3"/>
      <x:c r="AD11" s="3"/>
      <x:c r="AE11" s="2" t="s">
        <x:v>65</x:v>
      </x:c>
      <x:c r="AF11" s="3">
        <x:v>9</x:v>
      </x:c>
      <x:c r="AG11" s="3">
        <x:v>0</x:v>
      </x:c>
      <x:c r="AH11" s="2" t="s">
        <x:v>105</x:v>
      </x:c>
      <x:c r="AI11" s="3">
        <x:v>21</x:v>
      </x:c>
      <x:c r="AJ11" s="3">
        <x:v>0</x:v>
      </x:c>
      <x:c r="AK11" s="2" t="s">
        <x:v>66</x:v>
      </x:c>
      <x:c r="AL11" s="3">
        <x:v>0</x:v>
      </x:c>
      <x:c r="AM11" s="2" t="s">
        <x:v>106</x:v>
      </x:c>
      <x:c r="AN11" s="3">
        <x:v>22</x:v>
      </x:c>
      <x:c r="AO11" s="3">
        <x:v>19</x:v>
      </x:c>
      <x:c r="AP11" s="3">
        <x:v>19</x:v>
      </x:c>
      <x:c r="AQ11" s="5">
        <x:v>41.808242453608237</x:v>
      </x:c>
      <x:c r="AR11" s="5">
        <x:v>37.933699533706488</x:v>
      </x:c>
      <x:c r="AS11" s="5">
        <x:f t="shared" si="2"/>
        <x:v>99.999999999999972</x:v>
      </x:c>
      <x:c r="AT11" s="5">
        <x:v>132.02602880086809</x:v>
      </x:c>
      <x:c r="AU11" s="5">
        <x:v>175.7102528539202</x:v>
      </x:c>
      <x:c r="AV11" s="5">
        <x:v>88.671215371253311</x:v>
      </x:c>
      <x:c r="AW11" s="2" t="b">
        <x:v>0</x:v>
      </x:c>
      <x:c r="AX11" s="2"/>
      <x:c r="AY11" s="2" t="s">
        <x:v>75</x:v>
      </x:c>
      <x:c r="AZ11" s="6">
        <x:v>21</x:v>
      </x:c>
      <x:c r="BA11" s="6"/>
      <x:c r="BB11" s="7"/>
      <x:c r="BC11" s="7"/>
      <x:c r="BD11" s="8"/>
      <x:c r="BE11" s="2" t="e">
        <x:f>IF(AE11="Blocked","No",IF(AJ11&lt;=[1]Model_Parameters!$B$20,"Yes","No"))</x:f>
        <x:v>#NAME?</x:v>
      </x:c>
      <x:c r="BF11" s="2" t="str">
        <x:f t="shared" si="3"/>
        <x:v>Yes</x:v>
      </x:c>
      <x:c r="BG11" s="2" t="str">
        <x:f t="shared" si="4"/>
        <x:v>Yes</x:v>
      </x:c>
      <x:c r="BH11" s="24"/>
      <x:c r="BI11" s="24"/>
    </x:row>
    <x:row r="12">
      <x:c r="A12" s="2" t="s">
        <x:v>59</x:v>
      </x:c>
      <x:c r="B12" s="3">
        <x:v>17</x:v>
      </x:c>
      <x:c r="C12" s="2" t="s">
        <x:v>107</x:v>
      </x:c>
      <x:c r="D12" s="2" t="s">
        <x:v>108</x:v>
      </x:c>
      <x:c r="E12" s="2" t="s">
        <x:v>71</x:v>
      </x:c>
      <x:c r="F12" s="2" t="s">
        <x:v>72</x:v>
      </x:c>
      <x:c r="G12" s="3">
        <x:v>9</x:v>
      </x:c>
      <x:c r="H12" s="3">
        <x:v>1</x:v>
      </x:c>
      <x:c r="I12" s="3">
        <x:v>130</x:v>
      </x:c>
      <x:c r="J12" s="4">
        <x:v>8.1566068515497567E-2</x:v>
      </x:c>
      <x:c r="K12" s="3">
        <x:v>0</x:v>
      </x:c>
      <x:c r="L12" s="2" t="s">
        <x:v>109</x:v>
      </x:c>
      <x:c r="M12" s="3">
        <x:v>307</x:v>
      </x:c>
      <x:c r="N12" s="3">
        <x:v>21</x:v>
      </x:c>
      <x:c r="O12" s="5">
        <x:v>96.201306077178927</x:v>
      </x:c>
      <x:c r="P12" s="5">
        <x:v>55.879531115762923</x:v>
      </x:c>
      <x:c r="Q12" s="5"/>
      <x:c r="R12" s="5">
        <x:v>90.193354643285701</x:v>
      </x:c>
      <x:c r="S12" s="5">
        <x:f t="shared" si="0"/>
        <x:v>33.010346398495223</x:v>
      </x:c>
      <x:c r="T12" s="5">
        <x:f t="shared" si="1"/>
        <x:v>33.010346398495223</x:v>
      </x:c>
      <x:c r="U12" s="5" t="e">
        <x:f>T12/[1]Model_Parameters!$B$22</x:f>
        <x:v>#NAME?</x:v>
      </x:c>
      <x:c r="V12" s="5">
        <x:v>229.12290848006779</x:v>
      </x:c>
      <x:c r="W12" s="5">
        <x:v>229.12290848006779</x:v>
      </x:c>
      <x:c r="X12" s="5">
        <x:v>92.724157336499161</x:v>
      </x:c>
      <x:c r="Y12" s="3">
        <x:v>3</x:v>
      </x:c>
      <x:c r="Z12" s="3">
        <x:v>0</x:v>
      </x:c>
      <x:c r="AA12" s="3"/>
      <x:c r="AB12" s="2"/>
      <x:c r="AC12" s="3"/>
      <x:c r="AD12" s="3"/>
      <x:c r="AE12" s="2" t="s">
        <x:v>65</x:v>
      </x:c>
      <x:c r="AF12" s="3">
        <x:v>2</x:v>
      </x:c>
      <x:c r="AG12" s="3">
        <x:v>0</x:v>
      </x:c>
      <x:c r="AH12" s="2" t="s">
        <x:v>109</x:v>
      </x:c>
      <x:c r="AI12" s="3">
        <x:v>21</x:v>
      </x:c>
      <x:c r="AJ12" s="3">
        <x:v>0</x:v>
      </x:c>
      <x:c r="AK12" s="2" t="s">
        <x:v>66</x:v>
      </x:c>
      <x:c r="AL12" s="3">
        <x:v>0</x:v>
      </x:c>
      <x:c r="AM12" s="2" t="s">
        <x:v>110</x:v>
      </x:c>
      <x:c r="AN12" s="3">
        <x:v>22</x:v>
      </x:c>
      <x:c r="AO12" s="3">
        <x:v>15</x:v>
      </x:c>
      <x:c r="AP12" s="3">
        <x:v>15</x:v>
      </x:c>
      <x:c r="AQ12" s="5">
        <x:v>35.600589260358028</x:v>
      </x:c>
      <x:c r="AR12" s="5">
        <x:v>33.010346398495209</x:v>
      </x:c>
      <x:c r="AS12" s="5">
        <x:f t="shared" si="2"/>
        <x:v>99.999999999999957</x:v>
      </x:c>
      <x:c r="AT12" s="5">
        <x:v>142.40235704143211</x:v>
      </x:c>
      <x:c r="AU12" s="5">
        <x:v>229.12290848006771</x:v>
      </x:c>
      <x:c r="AV12" s="5">
        <x:v>90.193354643285701</x:v>
      </x:c>
      <x:c r="AW12" s="2" t="b">
        <x:v>0</x:v>
      </x:c>
      <x:c r="AX12" s="2"/>
      <x:c r="AY12" s="2" t="s">
        <x:v>75</x:v>
      </x:c>
      <x:c r="AZ12" s="6">
        <x:v>21</x:v>
      </x:c>
      <x:c r="BA12" s="6"/>
      <x:c r="BB12" s="7"/>
      <x:c r="BC12" s="7"/>
      <x:c r="BD12" s="8"/>
      <x:c r="BE12" s="2" t="e">
        <x:f>IF(AE12="Blocked","No",IF(AJ12&lt;=[1]Model_Parameters!$B$20,"Yes","No"))</x:f>
        <x:v>#NAME?</x:v>
      </x:c>
      <x:c r="BF12" s="2" t="str">
        <x:f t="shared" si="3"/>
        <x:v>Yes</x:v>
      </x:c>
      <x:c r="BG12" s="2" t="str">
        <x:f t="shared" si="4"/>
        <x:v>Yes</x:v>
      </x:c>
      <x:c r="BH12" s="24"/>
      <x:c r="BI12" s="24"/>
    </x:row>
    <x:row r="13">
      <x:c r="A13" s="2" t="s">
        <x:v>59</x:v>
      </x:c>
      <x:c r="B13" s="3">
        <x:v>18</x:v>
      </x:c>
      <x:c r="C13" s="2" t="s">
        <x:v>111</x:v>
      </x:c>
      <x:c r="D13" s="2" t="s">
        <x:v>112</x:v>
      </x:c>
      <x:c r="E13" s="2" t="s">
        <x:v>71</x:v>
      </x:c>
      <x:c r="F13" s="2" t="s">
        <x:v>72</x:v>
      </x:c>
      <x:c r="G13" s="3">
        <x:v>10</x:v>
      </x:c>
      <x:c r="H13" s="3">
        <x:v>1</x:v>
      </x:c>
      <x:c r="I13" s="3">
        <x:v>130</x:v>
      </x:c>
      <x:c r="J13" s="4">
        <x:v>8.1566068515497567E-2</x:v>
      </x:c>
      <x:c r="K13" s="3">
        <x:v>0</x:v>
      </x:c>
      <x:c r="L13" s="9" t="s">
        <x:v>113</x:v>
      </x:c>
      <x:c r="M13" s="3">
        <x:v>309</x:v>
      </x:c>
      <x:c r="N13" s="3">
        <x:v>21</x:v>
      </x:c>
      <x:c r="O13" s="5">
        <x:v>64.328207286591393</x:v>
      </x:c>
      <x:c r="P13" s="5">
        <x:v>22.392858713717722</x:v>
      </x:c>
      <x:c r="Q13" s="5"/>
      <x:c r="R13" s="5">
        <x:v>79.574204771985833</x:v>
      </x:c>
      <x:c r="S13" s="5">
        <x:f t="shared" si="0"/>
        <x:v>36.78373482162587</x:v>
      </x:c>
      <x:c r="T13" s="5">
        <x:f t="shared" si="1"/>
        <x:v>36.78373482162587</x:v>
      </x:c>
      <x:c r="U13" s="5" t="e">
        <x:f>T13/[1]Model_Parameters!$B$22</x:f>
        <x:v>#NAME?</x:v>
      </x:c>
      <x:c r="V13" s="5">
        <x:v>423.29107601368241</x:v>
      </x:c>
      <x:c r="W13" s="5">
        <x:v>423.29107601368241</x:v>
      </x:c>
      <x:c r="X13" s="5">
        <x:v>93.573670933853194</x:v>
      </x:c>
      <x:c r="Y13" s="3">
        <x:v>3</x:v>
      </x:c>
      <x:c r="Z13" s="3">
        <x:v>0</x:v>
      </x:c>
      <x:c r="AA13" s="3"/>
      <x:c r="AB13" s="2"/>
      <x:c r="AC13" s="3"/>
      <x:c r="AD13" s="3"/>
      <x:c r="AE13" s="2" t="s">
        <x:v>65</x:v>
      </x:c>
      <x:c r="AF13" s="3">
        <x:v>3</x:v>
      </x:c>
      <x:c r="AG13" s="3">
        <x:v>0</x:v>
      </x:c>
      <x:c r="AH13" s="2" t="s">
        <x:v>113</x:v>
      </x:c>
      <x:c r="AI13" s="3">
        <x:v>21</x:v>
      </x:c>
      <x:c r="AJ13" s="3">
        <x:v>0</x:v>
      </x:c>
      <x:c r="AK13" s="2" t="s">
        <x:v>66</x:v>
      </x:c>
      <x:c r="AL13" s="3">
        <x:v>0</x:v>
      </x:c>
      <x:c r="AM13" s="2" t="s">
        <x:v>114</x:v>
      </x:c>
      <x:c r="AN13" s="3">
        <x:v>22</x:v>
      </x:c>
      <x:c r="AO13" s="3">
        <x:v>6</x:v>
      </x:c>
      <x:c r="AP13" s="3">
        <x:v>6</x:v>
      </x:c>
      <x:c r="AQ13" s="5">
        <x:v>39.309919611498543</x:v>
      </x:c>
      <x:c r="AR13" s="5">
        <x:v>36.78373482162587</x:v>
      </x:c>
      <x:c r="AS13" s="5">
        <x:f t="shared" si="2"/>
        <x:v>100</x:v>
      </x:c>
      <x:c r="AT13" s="5">
        <x:v>393.09919611498532</x:v>
      </x:c>
      <x:c r="AU13" s="5">
        <x:v>423.2910760136823</x:v>
      </x:c>
      <x:c r="AV13" s="5">
        <x:v>79.574204771985833</x:v>
      </x:c>
      <x:c r="AW13" s="2" t="b">
        <x:v>0</x:v>
      </x:c>
      <x:c r="AX13" s="2"/>
      <x:c r="AY13" s="2" t="s">
        <x:v>75</x:v>
      </x:c>
      <x:c r="AZ13" s="6">
        <x:v>21</x:v>
      </x:c>
      <x:c r="BA13" s="6"/>
      <x:c r="BB13" s="7"/>
      <x:c r="BC13" s="7"/>
      <x:c r="BD13" s="8"/>
      <x:c r="BE13" s="2" t="e">
        <x:f>IF(AE13="Blocked","No",IF(AJ13&lt;=[1]Model_Parameters!$B$20,"Yes","No"))</x:f>
        <x:v>#NAME?</x:v>
      </x:c>
      <x:c r="BF13" s="2" t="str">
        <x:f t="shared" si="3"/>
        <x:v>Yes</x:v>
      </x:c>
      <x:c r="BG13" s="2" t="str">
        <x:f t="shared" si="4"/>
        <x:v>Yes</x:v>
      </x:c>
      <x:c r="BH13" s="24"/>
      <x:c r="BI13" s="24"/>
    </x:row>
    <x:row r="14">
      <x:c r="A14" s="2" t="s">
        <x:v>59</x:v>
      </x:c>
      <x:c r="B14" s="3">
        <x:v>21</x:v>
      </x:c>
      <x:c r="C14" s="2" t="s">
        <x:v>115</x:v>
      </x:c>
      <x:c r="D14" s="2" t="s">
        <x:v>116</x:v>
      </x:c>
      <x:c r="E14" s="2" t="s">
        <x:v>71</x:v>
      </x:c>
      <x:c r="F14" s="2" t="s">
        <x:v>72</x:v>
      </x:c>
      <x:c r="G14" s="3">
        <x:v>11</x:v>
      </x:c>
      <x:c r="H14" s="3">
        <x:v>1</x:v>
      </x:c>
      <x:c r="I14" s="3">
        <x:v>130</x:v>
      </x:c>
      <x:c r="J14" s="4">
        <x:v>8.1566068515497567E-2</x:v>
      </x:c>
      <x:c r="K14" s="3">
        <x:v>0</x:v>
      </x:c>
      <x:c r="L14" s="2" t="s">
        <x:v>117</x:v>
      </x:c>
      <x:c r="M14" s="3">
        <x:v>316</x:v>
      </x:c>
      <x:c r="N14" s="3">
        <x:v>22</x:v>
      </x:c>
      <x:c r="O14" s="5">
        <x:v>176.2725310870994</x:v>
      </x:c>
      <x:c r="P14" s="5">
        <x:v>23.633198140204961</x:v>
      </x:c>
      <x:c r="Q14" s="5"/>
      <x:c r="R14" s="5">
        <x:v>94.258333594349494</x:v>
      </x:c>
      <x:c r="S14" s="5">
        <x:f t="shared" si="0"/>
        <x:v>124.49271384871298</x:v>
      </x:c>
      <x:c r="T14" s="5">
        <x:f t="shared" si="1"/>
        <x:v>124.49271384871298</x:v>
      </x:c>
      <x:c r="U14" s="5" t="e">
        <x:f>T14/[1]Model_Parameters!$B$22</x:f>
        <x:v>#NAME?</x:v>
      </x:c>
      <x:c r="V14" s="5">
        <x:v>193.50501782248989</x:v>
      </x:c>
      <x:c r="W14" s="5">
        <x:v>193.50501782248989</x:v>
      </x:c>
      <x:c r="X14" s="5">
        <x:v>91.544881599311594</x:v>
      </x:c>
      <x:c r="Y14" s="3">
        <x:v>5</x:v>
      </x:c>
      <x:c r="Z14" s="3">
        <x:v>0</x:v>
      </x:c>
      <x:c r="AA14" s="3"/>
      <x:c r="AB14" s="2"/>
      <x:c r="AC14" s="3"/>
      <x:c r="AD14" s="3"/>
      <x:c r="AE14" s="2" t="s">
        <x:v>65</x:v>
      </x:c>
      <x:c r="AF14" s="3">
        <x:v>6</x:v>
      </x:c>
      <x:c r="AG14" s="3">
        <x:v>0</x:v>
      </x:c>
      <x:c r="AH14" s="2" t="s">
        <x:v>117</x:v>
      </x:c>
      <x:c r="AI14" s="3">
        <x:v>22</x:v>
      </x:c>
      <x:c r="AJ14" s="3">
        <x:v>0</x:v>
      </x:c>
      <x:c r="AK14" s="2" t="s">
        <x:v>66</x:v>
      </x:c>
      <x:c r="AL14" s="3">
        <x:v>0</x:v>
      </x:c>
      <x:c r="AM14" s="2" t="s">
        <x:v>118</x:v>
      </x:c>
      <x:c r="AN14" s="3">
        <x:v>26</x:v>
      </x:c>
      <x:c r="AO14" s="3">
        <x:v>62</x:v>
      </x:c>
      <x:c r="AP14" s="3">
        <x:v>62</x:v>
      </x:c>
      <x:c r="AQ14" s="5">
        <x:v>135.99090596196601</x:v>
      </x:c>
      <x:c r="AR14" s="5">
        <x:v>124.4927138487129</x:v>
      </x:c>
      <x:c r="AS14" s="5">
        <x:f t="shared" si="2"/>
        <x:v>99.999999999999929</x:v>
      </x:c>
      <x:c r="AT14" s="5">
        <x:v>131.604102543838</x:v>
      </x:c>
      <x:c r="AU14" s="5">
        <x:v>193.5050178224898</x:v>
      </x:c>
      <x:c r="AV14" s="5">
        <x:v>94.258333594349494</x:v>
      </x:c>
      <x:c r="AW14" s="2" t="b">
        <x:v>0</x:v>
      </x:c>
      <x:c r="AX14" s="2"/>
      <x:c r="AY14" s="2" t="s">
        <x:v>75</x:v>
      </x:c>
      <x:c r="AZ14" s="6">
        <x:v>22</x:v>
      </x:c>
      <x:c r="BA14" s="6"/>
      <x:c r="BB14" s="7"/>
      <x:c r="BC14" s="7"/>
      <x:c r="BD14" s="8"/>
      <x:c r="BE14" s="2" t="e">
        <x:f>IF(AE14="Blocked","No",IF(AJ14&lt;=[1]Model_Parameters!$B$20,"Yes","No"))</x:f>
        <x:v>#NAME?</x:v>
      </x:c>
      <x:c r="BF14" s="2" t="str">
        <x:f t="shared" si="3"/>
        <x:v>Yes</x:v>
      </x:c>
      <x:c r="BG14" s="2" t="str">
        <x:f t="shared" si="4"/>
        <x:v>Yes</x:v>
      </x:c>
      <x:c r="BH14" s="24"/>
      <x:c r="BI14" s="24"/>
    </x:row>
    <x:row r="15">
      <x:c r="A15" s="2" t="s">
        <x:v>59</x:v>
      </x:c>
      <x:c r="B15" s="3">
        <x:v>25</x:v>
      </x:c>
      <x:c r="C15" s="2" t="s">
        <x:v>119</x:v>
      </x:c>
      <x:c r="D15" s="2" t="s">
        <x:v>120</x:v>
      </x:c>
      <x:c r="E15" s="2" t="s">
        <x:v>71</x:v>
      </x:c>
      <x:c r="F15" s="2" t="s">
        <x:v>72</x:v>
      </x:c>
      <x:c r="G15" s="3">
        <x:v>12</x:v>
      </x:c>
      <x:c r="H15" s="3">
        <x:v>1</x:v>
      </x:c>
      <x:c r="I15" s="3">
        <x:v>130</x:v>
      </x:c>
      <x:c r="J15" s="4">
        <x:v>8.1566068515497567E-2</x:v>
      </x:c>
      <x:c r="K15" s="3">
        <x:v>0</x:v>
      </x:c>
      <x:c r="L15" s="2" t="s">
        <x:v>106</x:v>
      </x:c>
      <x:c r="M15" s="3">
        <x:v>320</x:v>
      </x:c>
      <x:c r="N15" s="3">
        <x:v>22</x:v>
      </x:c>
      <x:c r="O15" s="5">
        <x:v>118.9876704197639</x:v>
      </x:c>
      <x:c r="P15" s="5">
        <x:v>34.3511984021969</x:v>
      </x:c>
      <x:c r="Q15" s="5"/>
      <x:c r="R15" s="5">
        <x:v>95.809953146405249</x:v>
      </x:c>
      <x:c r="S15" s="5">
        <x:f t="shared" si="0"/>
        <x:v>73.128340539129638</x:v>
      </x:c>
      <x:c r="T15" s="5">
        <x:f t="shared" si="1"/>
        <x:v>73.128340539129638</x:v>
      </x:c>
      <x:c r="U15" s="5" t="e">
        <x:f>T15/[1]Model_Parameters!$B$22</x:f>
        <x:v>#NAME?</x:v>
      </x:c>
      <x:c r="V15" s="5">
        <x:v>276.49649891675892</x:v>
      </x:c>
      <x:c r="W15" s="5">
        <x:v>276.49649891675892</x:v>
      </x:c>
      <x:c r="X15" s="5">
        <x:v>93.757943464749331</x:v>
      </x:c>
      <x:c r="Y15" s="3">
        <x:v>7</x:v>
      </x:c>
      <x:c r="Z15" s="3">
        <x:v>0</x:v>
      </x:c>
      <x:c r="AA15" s="3"/>
      <x:c r="AB15" s="2"/>
      <x:c r="AC15" s="3"/>
      <x:c r="AD15" s="3"/>
      <x:c r="AE15" s="2" t="s">
        <x:v>65</x:v>
      </x:c>
      <x:c r="AF15" s="3">
        <x:v>1</x:v>
      </x:c>
      <x:c r="AG15" s="3">
        <x:v>0</x:v>
      </x:c>
      <x:c r="AH15" s="2" t="s">
        <x:v>106</x:v>
      </x:c>
      <x:c r="AI15" s="3">
        <x:v>22</x:v>
      </x:c>
      <x:c r="AJ15" s="3">
        <x:v>0</x:v>
      </x:c>
      <x:c r="AK15" s="2" t="s">
        <x:v>66</x:v>
      </x:c>
      <x:c r="AL15" s="3">
        <x:v>0</x:v>
      </x:c>
      <x:c r="AM15" s="2" t="s">
        <x:v>121</x:v>
      </x:c>
      <x:c r="AN15" s="3">
        <x:v>24</x:v>
      </x:c>
      <x:c r="AO15" s="3">
        <x:v>29</x:v>
      </x:c>
      <x:c r="AP15" s="3">
        <x:v>29</x:v>
      </x:c>
      <x:c r="AQ15" s="5">
        <x:v>77.996954537109801</x:v>
      </x:c>
      <x:c r="AR15" s="5">
        <x:v>73.128340539129638</x:v>
      </x:c>
      <x:c r="AS15" s="5">
        <x:f t="shared" si="2"/>
        <x:v>100</x:v>
      </x:c>
      <x:c r="AT15" s="5">
        <x:v>161.37300938712369</x:v>
      </x:c>
      <x:c r="AU15" s="5">
        <x:v>276.49649891675892</x:v>
      </x:c>
      <x:c r="AV15" s="5">
        <x:v>95.809953146405249</x:v>
      </x:c>
      <x:c r="AW15" s="2" t="b">
        <x:v>0</x:v>
      </x:c>
      <x:c r="AX15" s="2"/>
      <x:c r="AY15" s="2" t="s">
        <x:v>75</x:v>
      </x:c>
      <x:c r="AZ15" s="6">
        <x:v>22</x:v>
      </x:c>
      <x:c r="BA15" s="6"/>
      <x:c r="BB15" s="7"/>
      <x:c r="BC15" s="7"/>
      <x:c r="BD15" s="8"/>
      <x:c r="BE15" s="2" t="e">
        <x:f>IF(AE15="Blocked","No",IF(AJ15&lt;=[1]Model_Parameters!$B$20,"Yes","No"))</x:f>
        <x:v>#NAME?</x:v>
      </x:c>
      <x:c r="BF15" s="2" t="str">
        <x:f t="shared" si="3"/>
        <x:v>Yes</x:v>
      </x:c>
      <x:c r="BG15" s="2" t="str">
        <x:f t="shared" si="4"/>
        <x:v>Yes</x:v>
      </x:c>
      <x:c r="BH15" s="24"/>
      <x:c r="BI15" s="24"/>
    </x:row>
    <x:row r="16">
      <x:c r="A16" s="2" t="s">
        <x:v>59</x:v>
      </x:c>
      <x:c r="B16" s="3">
        <x:v>26</x:v>
      </x:c>
      <x:c r="C16" s="2" t="s">
        <x:v>122</x:v>
      </x:c>
      <x:c r="D16" s="2" t="s">
        <x:v>123</x:v>
      </x:c>
      <x:c r="E16" s="2" t="s">
        <x:v>71</x:v>
      </x:c>
      <x:c r="F16" s="2" t="s">
        <x:v>72</x:v>
      </x:c>
      <x:c r="G16" s="3">
        <x:v>13</x:v>
      </x:c>
      <x:c r="H16" s="3">
        <x:v>1</x:v>
      </x:c>
      <x:c r="I16" s="3">
        <x:v>130</x:v>
      </x:c>
      <x:c r="J16" s="4">
        <x:v>8.1566068515497567E-2</x:v>
      </x:c>
      <x:c r="K16" s="3">
        <x:v>0</x:v>
      </x:c>
      <x:c r="L16" s="2" t="s">
        <x:v>110</x:v>
      </x:c>
      <x:c r="M16" s="3">
        <x:v>322</x:v>
      </x:c>
      <x:c r="N16" s="3">
        <x:v>22</x:v>
      </x:c>
      <x:c r="O16" s="5">
        <x:v>97.185188637902215</x:v>
      </x:c>
      <x:c r="P16" s="5">
        <x:v>28.64397557055571</x:v>
      </x:c>
      <x:c r="Q16" s="5"/>
      <x:c r="R16" s="5">
        <x:v>72.558800898640257</x:v>
      </x:c>
      <x:c r="S16" s="5">
        <x:f t="shared" si="0"/>
        <x:v>42.678705835104232</x:v>
      </x:c>
      <x:c r="T16" s="5">
        <x:f t="shared" si="1"/>
        <x:v>42.678705835104232</x:v>
      </x:c>
      <x:c r="U16" s="5" t="e">
        <x:f>T16/[1]Model_Parameters!$B$22</x:f>
        <x:v>#NAME?</x:v>
      </x:c>
      <x:c r="V16" s="5">
        <x:v>216.67723980302219</x:v>
      </x:c>
      <x:c r="W16" s="5">
        <x:v>216.67723980302219</x:v>
      </x:c>
      <x:c r="X16" s="5">
        <x:v>91.407613543193136</x:v>
      </x:c>
      <x:c r="Y16" s="3">
        <x:v>7</x:v>
      </x:c>
      <x:c r="Z16" s="3">
        <x:v>0</x:v>
      </x:c>
      <x:c r="AA16" s="3"/>
      <x:c r="AB16" s="2"/>
      <x:c r="AC16" s="3"/>
      <x:c r="AD16" s="3"/>
      <x:c r="AE16" s="2" t="s">
        <x:v>65</x:v>
      </x:c>
      <x:c r="AF16" s="3">
        <x:v>2</x:v>
      </x:c>
      <x:c r="AG16" s="3">
        <x:v>0</x:v>
      </x:c>
      <x:c r="AH16" s="2" t="s">
        <x:v>110</x:v>
      </x:c>
      <x:c r="AI16" s="3">
        <x:v>22</x:v>
      </x:c>
      <x:c r="AJ16" s="3">
        <x:v>0</x:v>
      </x:c>
      <x:c r="AK16" s="2" t="s">
        <x:v>66</x:v>
      </x:c>
      <x:c r="AL16" s="3">
        <x:v>0</x:v>
      </x:c>
      <x:c r="AM16" s="2" t="s">
        <x:v>124</x:v>
      </x:c>
      <x:c r="AN16" s="3">
        <x:v>23</x:v>
      </x:c>
      <x:c r="AO16" s="3">
        <x:v>13</x:v>
      </x:c>
      <x:c r="AP16" s="3">
        <x:v>13</x:v>
      </x:c>
      <x:c r="AQ16" s="5">
        <x:v>46.690537232915638</x:v>
      </x:c>
      <x:c r="AR16" s="5">
        <x:v>42.678705835104232</x:v>
      </x:c>
      <x:c r="AS16" s="5">
        <x:f t="shared" si="2"/>
        <x:v>100</x:v>
      </x:c>
      <x:c r="AT16" s="5">
        <x:v>215.4947872288414</x:v>
      </x:c>
      <x:c r="AU16" s="5">
        <x:v>216.67723980302219</x:v>
      </x:c>
      <x:c r="AV16" s="5">
        <x:v>72.558800898640257</x:v>
      </x:c>
      <x:c r="AW16" s="2" t="b">
        <x:v>0</x:v>
      </x:c>
      <x:c r="AX16" s="2"/>
      <x:c r="AY16" s="2" t="s">
        <x:v>75</x:v>
      </x:c>
      <x:c r="AZ16" s="6">
        <x:v>22</x:v>
      </x:c>
      <x:c r="BA16" s="6"/>
      <x:c r="BB16" s="7"/>
      <x:c r="BC16" s="7"/>
      <x:c r="BD16" s="8"/>
      <x:c r="BE16" s="2" t="e">
        <x:f>IF(AE16="Blocked","No",IF(AJ16&lt;=[1]Model_Parameters!$B$20,"Yes","No"))</x:f>
        <x:v>#NAME?</x:v>
      </x:c>
      <x:c r="BF16" s="2" t="str">
        <x:f t="shared" si="3"/>
        <x:v>Yes</x:v>
      </x:c>
      <x:c r="BG16" s="2" t="str">
        <x:f t="shared" si="4"/>
        <x:v>Yes</x:v>
      </x:c>
      <x:c r="BH16" s="24"/>
      <x:c r="BI16" s="24"/>
    </x:row>
    <x:row r="17">
      <x:c r="A17" s="2" t="s">
        <x:v>59</x:v>
      </x:c>
      <x:c r="B17" s="3">
        <x:v>28</x:v>
      </x:c>
      <x:c r="C17" s="2" t="s">
        <x:v>125</x:v>
      </x:c>
      <x:c r="D17" s="2" t="s">
        <x:v>126</x:v>
      </x:c>
      <x:c r="E17" s="2" t="s">
        <x:v>71</x:v>
      </x:c>
      <x:c r="F17" s="2" t="s">
        <x:v>72</x:v>
      </x:c>
      <x:c r="G17" s="3">
        <x:v>14</x:v>
      </x:c>
      <x:c r="H17" s="3">
        <x:v>1</x:v>
      </x:c>
      <x:c r="I17" s="3">
        <x:v>130</x:v>
      </x:c>
      <x:c r="J17" s="4">
        <x:v>8.1566068515497567E-2</x:v>
      </x:c>
      <x:c r="K17" s="3">
        <x:v>0</x:v>
      </x:c>
      <x:c r="L17" s="2" t="s">
        <x:v>127</x:v>
      </x:c>
      <x:c r="M17" s="3">
        <x:v>329</x:v>
      </x:c>
      <x:c r="N17" s="3">
        <x:v>22</x:v>
      </x:c>
      <x:c r="O17" s="5">
        <x:v>56.337902206011279</x:v>
      </x:c>
      <x:c r="P17" s="5">
        <x:v>62.752036795167257</x:v>
      </x:c>
      <x:c r="Q17" s="5"/>
      <x:c r="R17" s="5">
        <x:v>82.808786818965189</x:v>
      </x:c>
      <x:c r="S17" s="5">
        <x:f t="shared" si="0"/>
        <x:v>11.299552214111422</x:v>
      </x:c>
      <x:c r="T17" s="5">
        <x:f t="shared" si="1"/>
        <x:v>11.299552214111422</x:v>
      </x:c>
      <x:c r="U17" s="5" t="e">
        <x:f>T17/[1]Model_Parameters!$B$22</x:f>
        <x:v>#NAME?</x:v>
      </x:c>
      <x:c r="V17" s="5">
        <x:v>265.27529049151428</x:v>
      </x:c>
      <x:c r="W17" s="5">
        <x:v>265.27529049151428</x:v>
      </x:c>
      <x:c r="X17" s="5">
        <x:v>93.997409692494216</x:v>
      </x:c>
      <x:c r="Y17" s="3">
        <x:v>7</x:v>
      </x:c>
      <x:c r="Z17" s="3">
        <x:v>0</x:v>
      </x:c>
      <x:c r="AA17" s="3"/>
      <x:c r="AB17" s="2"/>
      <x:c r="AC17" s="3"/>
      <x:c r="AD17" s="3"/>
      <x:c r="AE17" s="2" t="s">
        <x:v>65</x:v>
      </x:c>
      <x:c r="AF17" s="3">
        <x:v>5</x:v>
      </x:c>
      <x:c r="AG17" s="3">
        <x:v>0</x:v>
      </x:c>
      <x:c r="AH17" s="2" t="s">
        <x:v>127</x:v>
      </x:c>
      <x:c r="AI17" s="3">
        <x:v>22</x:v>
      </x:c>
      <x:c r="AJ17" s="3">
        <x:v>0</x:v>
      </x:c>
      <x:c r="AK17" s="2" t="s">
        <x:v>66</x:v>
      </x:c>
      <x:c r="AL17" s="3">
        <x:v>0</x:v>
      </x:c>
      <x:c r="AM17" s="2" t="s">
        <x:v>128</x:v>
      </x:c>
      <x:c r="AN17" s="3">
        <x:v>23</x:v>
      </x:c>
      <x:c r="AO17" s="3">
        <x:v>4</x:v>
      </x:c>
      <x:c r="AP17" s="3">
        <x:v>4</x:v>
      </x:c>
      <x:c r="AQ17" s="5">
        <x:v>12.021131487641091</x:v>
      </x:c>
      <x:c r="AR17" s="5">
        <x:v>11.29955221411142</x:v>
      </x:c>
      <x:c r="AS17" s="5">
        <x:f t="shared" si="2"/>
        <x:v>99.999999999999986</x:v>
      </x:c>
      <x:c r="AT17" s="5">
        <x:v>180.31697231461629</x:v>
      </x:c>
      <x:c r="AU17" s="5">
        <x:v>265.27529049151428</x:v>
      </x:c>
      <x:c r="AV17" s="5">
        <x:v>82.808786818965189</x:v>
      </x:c>
      <x:c r="AW17" s="2" t="b">
        <x:v>0</x:v>
      </x:c>
      <x:c r="AX17" s="2"/>
      <x:c r="AY17" s="2" t="s">
        <x:v>75</x:v>
      </x:c>
      <x:c r="AZ17" s="6">
        <x:v>22</x:v>
      </x:c>
      <x:c r="BA17" s="6"/>
      <x:c r="BB17" s="7"/>
      <x:c r="BC17" s="7"/>
      <x:c r="BD17" s="8"/>
      <x:c r="BE17" s="2" t="e">
        <x:f>IF(AE17="Blocked","No",IF(AJ17&lt;=[1]Model_Parameters!$B$20,"Yes","No"))</x:f>
        <x:v>#NAME?</x:v>
      </x:c>
      <x:c r="BF17" s="2" t="str">
        <x:f t="shared" si="3"/>
        <x:v>Yes</x:v>
      </x:c>
      <x:c r="BG17" s="2" t="str">
        <x:f t="shared" si="4"/>
        <x:v>Yes</x:v>
      </x:c>
      <x:c r="BH17" s="24"/>
      <x:c r="BI17" s="24"/>
    </x:row>
    <x:row r="18">
      <x:c r="A18" s="2" t="s">
        <x:v>59</x:v>
      </x:c>
      <x:c r="B18" s="3">
        <x:v>29</x:v>
      </x:c>
      <x:c r="C18" s="2" t="s">
        <x:v>129</x:v>
      </x:c>
      <x:c r="D18" s="2" t="s">
        <x:v>130</x:v>
      </x:c>
      <x:c r="E18" s="2" t="s">
        <x:v>71</x:v>
      </x:c>
      <x:c r="F18" s="2" t="s">
        <x:v>72</x:v>
      </x:c>
      <x:c r="G18" s="3">
        <x:v>15</x:v>
      </x:c>
      <x:c r="H18" s="3">
        <x:v>1</x:v>
      </x:c>
      <x:c r="I18" s="3">
        <x:v>130</x:v>
      </x:c>
      <x:c r="J18" s="4">
        <x:v>8.1566068515497567E-2</x:v>
      </x:c>
      <x:c r="K18" s="3">
        <x:v>0</x:v>
      </x:c>
      <x:c r="L18" s="2" t="s">
        <x:v>131</x:v>
      </x:c>
      <x:c r="M18" s="3">
        <x:v>330</x:v>
      </x:c>
      <x:c r="N18" s="3">
        <x:v>23</x:v>
      </x:c>
      <x:c r="O18" s="5">
        <x:v>107.202391656353</x:v>
      </x:c>
      <x:c r="P18" s="5">
        <x:v>32.275687183105823</x:v>
      </x:c>
      <x:c r="Q18" s="5"/>
      <x:c r="R18" s="5">
        <x:v>49.678487469657959</x:v>
      </x:c>
      <x:c r="S18" s="5">
        <x:f t="shared" si="0"/>
        <x:v>18.656218122362542</x:v>
      </x:c>
      <x:c r="T18" s="5">
        <x:f t="shared" si="1"/>
        <x:v>18.656218122362542</x:v>
      </x:c>
      <x:c r="U18" s="5" t="e">
        <x:f>T18/[1]Model_Parameters!$B$22</x:f>
        <x:v>#NAME?</x:v>
      </x:c>
      <x:c r="V18" s="5">
        <x:v>156.64969171785191</x:v>
      </x:c>
      <x:c r="W18" s="5">
        <x:v>156.64969171785191</x:v>
      </x:c>
      <x:c r="X18" s="5">
        <x:v>94.547239003948221</x:v>
      </x:c>
      <x:c r="Y18" s="3">
        <x:v>8</x:v>
      </x:c>
      <x:c r="Z18" s="3">
        <x:v>0</x:v>
      </x:c>
      <x:c r="AA18" s="3"/>
      <x:c r="AB18" s="2"/>
      <x:c r="AC18" s="3"/>
      <x:c r="AD18" s="3"/>
      <x:c r="AE18" s="2" t="s">
        <x:v>65</x:v>
      </x:c>
      <x:c r="AF18" s="3">
        <x:v>8</x:v>
      </x:c>
      <x:c r="AG18" s="3">
        <x:v>0</x:v>
      </x:c>
      <x:c r="AH18" s="2" t="s">
        <x:v>131</x:v>
      </x:c>
      <x:c r="AI18" s="3">
        <x:v>23</x:v>
      </x:c>
      <x:c r="AJ18" s="3">
        <x:v>0</x:v>
      </x:c>
      <x:c r="AK18" s="2" t="s">
        <x:v>66</x:v>
      </x:c>
      <x:c r="AL18" s="3">
        <x:v>0</x:v>
      </x:c>
      <x:c r="AM18" s="2" t="s">
        <x:v>132</x:v>
      </x:c>
      <x:c r="AN18" s="3">
        <x:v>23</x:v>
      </x:c>
      <x:c r="AO18" s="3">
        <x:v>8</x:v>
      </x:c>
      <x:c r="AP18" s="3">
        <x:v>8</x:v>
      </x:c>
      <x:c r="AQ18" s="5">
        <x:v>19.732165972169199</x:v>
      </x:c>
      <x:c r="AR18" s="5">
        <x:v>18.656218122362549</x:v>
      </x:c>
      <x:c r="AS18" s="5">
        <x:f t="shared" si="2"/>
        <x:v>100.00000000000004</x:v>
      </x:c>
      <x:c r="AT18" s="5">
        <x:v>147.991244791269</x:v>
      </x:c>
      <x:c r="AU18" s="5">
        <x:v>156.64969171785191</x:v>
      </x:c>
      <x:c r="AV18" s="5">
        <x:v>49.678487469657959</x:v>
      </x:c>
      <x:c r="AW18" s="2" t="b">
        <x:v>0</x:v>
      </x:c>
      <x:c r="AX18" s="2"/>
      <x:c r="AY18" s="2" t="s">
        <x:v>75</x:v>
      </x:c>
      <x:c r="AZ18" s="6">
        <x:v>23</x:v>
      </x:c>
      <x:c r="BA18" s="6"/>
      <x:c r="BB18" s="7"/>
      <x:c r="BC18" s="7"/>
      <x:c r="BD18" s="8"/>
      <x:c r="BE18" s="2" t="e">
        <x:f>IF(AE18="Blocked","No",IF(AJ18&lt;=[1]Model_Parameters!$B$20,"Yes","No"))</x:f>
        <x:v>#NAME?</x:v>
      </x:c>
      <x:c r="BF18" s="2" t="str">
        <x:f t="shared" si="3"/>
        <x:v>Yes</x:v>
      </x:c>
      <x:c r="BG18" s="2" t="str">
        <x:f t="shared" si="4"/>
        <x:v>Yes</x:v>
      </x:c>
      <x:c r="BH18" s="24"/>
      <x:c r="BI18" s="24"/>
    </x:row>
    <x:row r="19">
      <x:c r="A19" s="2" t="s">
        <x:v>59</x:v>
      </x:c>
      <x:c r="B19" s="3">
        <x:v>31</x:v>
      </x:c>
      <x:c r="C19" s="2" t="s">
        <x:v>133</x:v>
      </x:c>
      <x:c r="D19" s="2" t="s">
        <x:v>134</x:v>
      </x:c>
      <x:c r="E19" s="2" t="s">
        <x:v>71</x:v>
      </x:c>
      <x:c r="F19" s="2" t="s">
        <x:v>72</x:v>
      </x:c>
      <x:c r="G19" s="3">
        <x:v>16</x:v>
      </x:c>
      <x:c r="H19" s="3">
        <x:v>1</x:v>
      </x:c>
      <x:c r="I19" s="3">
        <x:v>130</x:v>
      </x:c>
      <x:c r="J19" s="4">
        <x:v>8.1566068515497567E-2</x:v>
      </x:c>
      <x:c r="K19" s="3">
        <x:v>0</x:v>
      </x:c>
      <x:c r="L19" s="2" t="s">
        <x:v>135</x:v>
      </x:c>
      <x:c r="M19" s="3">
        <x:v>331</x:v>
      </x:c>
      <x:c r="N19" s="3">
        <x:v>23</x:v>
      </x:c>
      <x:c r="O19" s="5">
        <x:v>136.35131657500631</x:v>
      </x:c>
      <x:c r="P19" s="5">
        <x:v>5.6579504624022441</x:v>
      </x:c>
      <x:c r="Q19" s="5"/>
      <x:c r="R19" s="5">
        <x:v>97.125860289077636</x:v>
      </x:c>
      <x:c r="S19" s="5">
        <x:f t="shared" si="0"/>
        <x:v>124.71769929231147</x:v>
      </x:c>
      <x:c r="T19" s="5">
        <x:f t="shared" si="1"/>
        <x:v>124.71769929231147</x:v>
      </x:c>
      <x:c r="U19" s="5" t="e">
        <x:f>T19/[1]Model_Parameters!$B$22</x:f>
        <x:v>#NAME?</x:v>
      </x:c>
      <x:c r="V19" s="5">
        <x:v>321.26039750719588</x:v>
      </x:c>
      <x:c r="W19" s="5">
        <x:v>321.26039750719588</x:v>
      </x:c>
      <x:c r="X19" s="5">
        <x:v>91.621950442388567</x:v>
      </x:c>
      <x:c r="Y19" s="3">
        <x:v>10</x:v>
      </x:c>
      <x:c r="Z19" s="3">
        <x:v>0</x:v>
      </x:c>
      <x:c r="AA19" s="3">
        <x:v>1</x:v>
      </x:c>
      <x:c r="AB19" s="2"/>
      <x:c r="AC19" s="3"/>
      <x:c r="AD19" s="3"/>
      <x:c r="AE19" s="2" t="s">
        <x:v>136</x:v>
      </x:c>
      <x:c r="AF19" s="3">
        <x:v>2</x:v>
      </x:c>
      <x:c r="AG19" s="3">
        <x:v>0</x:v>
      </x:c>
      <x:c r="AH19" s="2" t="s">
        <x:v>124</x:v>
      </x:c>
      <x:c r="AI19" s="3">
        <x:v>23</x:v>
      </x:c>
      <x:c r="AJ19" s="3">
        <x:v>4</x:v>
      </x:c>
      <x:c r="AK19" s="2" t="s">
        <x:v>66</x:v>
      </x:c>
      <x:c r="AL19" s="3">
        <x:v>0</x:v>
      </x:c>
      <x:c r="AM19" s="2" t="s">
        <x:v>137</x:v>
      </x:c>
      <x:c r="AN19" s="3">
        <x:v>25</x:v>
      </x:c>
      <x:c r="AO19" s="3">
        <x:v>39</x:v>
      </x:c>
      <x:c r="AP19" s="3">
        <x:v>43</x:v>
      </x:c>
      <x:c r="AQ19" s="5">
        <x:v>136.12207412101901</x:v>
      </x:c>
      <x:c r="AR19" s="5">
        <x:v>124.71769929231139</x:v>
      </x:c>
      <x:c r="AS19" s="5">
        <x:f t="shared" si="2"/>
        <x:v>99.999999999999943</x:v>
      </x:c>
      <x:c r="AT19" s="5">
        <x:v>209.4185755707984</x:v>
      </x:c>
      <x:c r="AU19" s="5">
        <x:v>321.26039750719588</x:v>
      </x:c>
      <x:c r="AV19" s="5">
        <x:v>97.125860289077636</x:v>
      </x:c>
      <x:c r="AW19" s="2" t="b">
        <x:v>0</x:v>
      </x:c>
      <x:c r="AX19" s="2"/>
      <x:c r="AY19" s="2" t="s">
        <x:v>75</x:v>
      </x:c>
      <x:c r="AZ19" s="6">
        <x:v>23</x:v>
      </x:c>
      <x:c r="BA19" s="6"/>
      <x:c r="BB19" s="7"/>
      <x:c r="BC19" s="7"/>
      <x:c r="BD19" s="8"/>
      <x:c r="BE19" s="2" t="e">
        <x:f>IF(AE19="Blocked","No",IF(AJ19&lt;=[1]Model_Parameters!$B$20,"Yes","No"))</x:f>
        <x:v>#NAME?</x:v>
      </x:c>
      <x:c r="BF19" s="2" t="str">
        <x:f t="shared" si="3"/>
        <x:v>Yes</x:v>
      </x:c>
      <x:c r="BG19" s="2" t="str">
        <x:f t="shared" si="4"/>
        <x:v>Yes</x:v>
      </x:c>
      <x:c r="BH19" s="24"/>
      <x:c r="BI19" s="24"/>
    </x:row>
    <x:row r="20">
      <x:c r="A20" s="2" t="s">
        <x:v>59</x:v>
      </x:c>
      <x:c r="B20" s="3">
        <x:v>33</x:v>
      </x:c>
      <x:c r="C20" s="2" t="s">
        <x:v>138</x:v>
      </x:c>
      <x:c r="D20" s="2" t="s">
        <x:v>139</x:v>
      </x:c>
      <x:c r="E20" s="2" t="s">
        <x:v>62</x:v>
      </x:c>
      <x:c r="F20" s="2" t="s">
        <x:v>63</x:v>
      </x:c>
      <x:c r="G20" s="3">
        <x:v>3</x:v>
      </x:c>
      <x:c r="H20" s="3">
        <x:v>1</x:v>
      </x:c>
      <x:c r="I20" s="3">
        <x:v>20</x:v>
      </x:c>
      <x:c r="J20" s="4">
        <x:v>4.1152263374485597E-2</x:v>
      </x:c>
      <x:c r="K20" s="3">
        <x:v>0</x:v>
      </x:c>
      <x:c r="L20" s="2" t="s">
        <x:v>140</x:v>
      </x:c>
      <x:c r="M20" s="3">
        <x:v>334</x:v>
      </x:c>
      <x:c r="N20" s="3">
        <x:v>23</x:v>
      </x:c>
      <x:c r="O20" s="5">
        <x:v>103.99488282783889</x:v>
      </x:c>
      <x:c r="P20" s="5">
        <x:v>12.7201060226498</x:v>
      </x:c>
      <x:c r="Q20" s="5"/>
      <x:c r="R20" s="5">
        <x:v>74.773897538736662</x:v>
      </x:c>
      <x:c r="S20" s="5">
        <x:f t="shared" si="0"/>
        <x:v>64.532767777385956</x:v>
      </x:c>
      <x:c r="T20" s="5">
        <x:f t="shared" si="1"/>
        <x:v>64.532767777385956</x:v>
      </x:c>
      <x:c r="U20" s="5" t="e">
        <x:f>T20/[1]Model_Parameters!$B$22</x:f>
        <x:v>#NAME?</x:v>
      </x:c>
      <x:c r="V20" s="5">
        <x:v>258.31718389038753</x:v>
      </x:c>
      <x:c r="W20" s="5">
        <x:v>258.31718389038753</x:v>
      </x:c>
      <x:c r="X20" s="5">
        <x:v>90.683318729643432</x:v>
      </x:c>
      <x:c r="Y20" s="3">
        <x:v>10</x:v>
      </x:c>
      <x:c r="Z20" s="3">
        <x:v>1</x:v>
      </x:c>
      <x:c r="AA20" s="3">
        <x:v>2</x:v>
      </x:c>
      <x:c r="AB20" s="2"/>
      <x:c r="AC20" s="3"/>
      <x:c r="AD20" s="3"/>
      <x:c r="AE20" s="2" t="s">
        <x:v>136</x:v>
      </x:c>
      <x:c r="AF20" s="3">
        <x:v>3</x:v>
      </x:c>
      <x:c r="AG20" s="3">
        <x:v>0</x:v>
      </x:c>
      <x:c r="AH20" s="2" t="s">
        <x:v>141</x:v>
      </x:c>
      <x:c r="AI20" s="3">
        <x:v>23</x:v>
      </x:c>
      <x:c r="AJ20" s="3">
        <x:v>8</x:v>
      </x:c>
      <x:c r="AK20" s="2" t="s">
        <x:v>66</x:v>
      </x:c>
      <x:c r="AL20" s="3">
        <x:v>0</x:v>
      </x:c>
      <x:c r="AM20" s="2" t="s">
        <x:v>142</x:v>
      </x:c>
      <x:c r="AN20" s="3">
        <x:v>24</x:v>
      </x:c>
      <x:c r="AO20" s="3">
        <x:v>17</x:v>
      </x:c>
      <x:c r="AP20" s="3">
        <x:v>25</x:v>
      </x:c>
      <x:c r="AQ20" s="5">
        <x:v>71.162776882680234</x:v>
      </x:c>
      <x:c r="AR20" s="5">
        <x:v>64.532767777385928</x:v>
      </x:c>
      <x:c r="AS20" s="5">
        <x:f t="shared" si="2"/>
        <x:v>99.999999999999957</x:v>
      </x:c>
      <x:c r="AT20" s="5">
        <x:v>251.16274193887139</x:v>
      </x:c>
      <x:c r="AU20" s="5">
        <x:v>258.31718389038753</x:v>
      </x:c>
      <x:c r="AV20" s="5">
        <x:v>74.773897538736662</x:v>
      </x:c>
      <x:c r="AW20" s="2" t="b">
        <x:v>0</x:v>
      </x:c>
      <x:c r="AX20" s="2"/>
      <x:c r="AY20" s="2" t="s">
        <x:v>68</x:v>
      </x:c>
      <x:c r="AZ20" s="6">
        <x:v>23</x:v>
      </x:c>
      <x:c r="BA20" s="6"/>
      <x:c r="BB20" s="7"/>
      <x:c r="BC20" s="7"/>
      <x:c r="BD20" s="8"/>
      <x:c r="BE20" s="2" t="e">
        <x:f>IF(AE20="Blocked","No",IF(AJ20&lt;=[1]Model_Parameters!$B$20,"Yes","No"))</x:f>
        <x:v>#NAME?</x:v>
      </x:c>
      <x:c r="BF20" s="2" t="str">
        <x:f t="shared" si="3"/>
        <x:v>Yes</x:v>
      </x:c>
      <x:c r="BG20" s="2" t="str">
        <x:f t="shared" si="4"/>
        <x:v>Yes</x:v>
      </x:c>
      <x:c r="BH20" s="24"/>
      <x:c r="BI20" s="24"/>
    </x:row>
    <x:row r="21">
      <x:c r="A21" s="2" t="s">
        <x:v>59</x:v>
      </x:c>
      <x:c r="B21" s="3">
        <x:v>36</x:v>
      </x:c>
      <x:c r="C21" s="2" t="s">
        <x:v>143</x:v>
      </x:c>
      <x:c r="D21" s="2" t="s">
        <x:v>144</x:v>
      </x:c>
      <x:c r="E21" s="2" t="s">
        <x:v>71</x:v>
      </x:c>
      <x:c r="F21" s="2" t="s">
        <x:v>72</x:v>
      </x:c>
      <x:c r="G21" s="3">
        <x:v>17</x:v>
      </x:c>
      <x:c r="H21" s="3">
        <x:v>1</x:v>
      </x:c>
      <x:c r="I21" s="3">
        <x:v>130</x:v>
      </x:c>
      <x:c r="J21" s="4">
        <x:v>8.1566068515497567E-2</x:v>
      </x:c>
      <x:c r="K21" s="3">
        <x:v>0</x:v>
      </x:c>
      <x:c r="L21" s="2" t="s">
        <x:v>145</x:v>
      </x:c>
      <x:c r="M21" s="3">
        <x:v>341</x:v>
      </x:c>
      <x:c r="N21" s="3">
        <x:v>23</x:v>
      </x:c>
      <x:c r="O21" s="5">
        <x:v>94.69661545266564</x:v>
      </x:c>
      <x:c r="P21" s="5">
        <x:v>50.891319421647019</x:v>
      </x:c>
      <x:c r="Q21" s="5"/>
      <x:c r="R21" s="5">
        <x:v>79.982803815487586</x:v>
      </x:c>
      <x:c r="S21" s="5">
        <x:f t="shared" si="0"/>
        <x:v>27.548651105907439</x:v>
      </x:c>
      <x:c r="T21" s="5">
        <x:f t="shared" si="1"/>
        <x:v>27.548651105907439</x:v>
      </x:c>
      <x:c r="U21" s="5" t="e">
        <x:f>T21/[1]Model_Parameters!$B$22</x:f>
        <x:v>#NAME?</x:v>
      </x:c>
      <x:c r="V21" s="5">
        <x:v>419.45478749060157</x:v>
      </x:c>
      <x:c r="W21" s="5">
        <x:v>419.45478749060157</x:v>
      </x:c>
      <x:c r="X21" s="5">
        <x:v>90.385555601874643</x:v>
      </x:c>
      <x:c r="Y21" s="3">
        <x:v>10</x:v>
      </x:c>
      <x:c r="Z21" s="3">
        <x:v>1</x:v>
      </x:c>
      <x:c r="AA21" s="3">
        <x:v>2</x:v>
      </x:c>
      <x:c r="AB21" s="2"/>
      <x:c r="AC21" s="3"/>
      <x:c r="AD21" s="3"/>
      <x:c r="AE21" s="2" t="s">
        <x:v>136</x:v>
      </x:c>
      <x:c r="AF21" s="3">
        <x:v>5</x:v>
      </x:c>
      <x:c r="AG21" s="3">
        <x:v>0</x:v>
      </x:c>
      <x:c r="AH21" s="2" t="s">
        <x:v>146</x:v>
      </x:c>
      <x:c r="AI21" s="3">
        <x:v>23</x:v>
      </x:c>
      <x:c r="AJ21" s="3">
        <x:v>3</x:v>
      </x:c>
      <x:c r="AK21" s="2" t="s">
        <x:v>66</x:v>
      </x:c>
      <x:c r="AL21" s="3">
        <x:v>0</x:v>
      </x:c>
      <x:c r="AM21" s="2" t="s">
        <x:v>121</x:v>
      </x:c>
      <x:c r="AN21" s="3">
        <x:v>24</x:v>
      </x:c>
      <x:c r="AO21" s="3">
        <x:v>5</x:v>
      </x:c>
      <x:c r="AP21" s="3">
        <x:v>8</x:v>
      </x:c>
      <x:c r="AQ21" s="5">
        <x:v>30.479041615069821</x:v>
      </x:c>
      <x:c r="AR21" s="5">
        <x:v>27.548651105907439</x:v>
      </x:c>
      <x:c r="AS21" s="5">
        <x:f t="shared" si="2"/>
        <x:v>100</x:v>
      </x:c>
      <x:c r="AT21" s="5">
        <x:v>365.74849938083781</x:v>
      </x:c>
      <x:c r="AU21" s="5">
        <x:v>419.45478749060169</x:v>
      </x:c>
      <x:c r="AV21" s="5">
        <x:v>79.982803815487586</x:v>
      </x:c>
      <x:c r="AW21" s="2" t="b">
        <x:v>0</x:v>
      </x:c>
      <x:c r="AX21" s="2"/>
      <x:c r="AY21" s="2" t="s">
        <x:v>75</x:v>
      </x:c>
      <x:c r="AZ21" s="6">
        <x:v>23</x:v>
      </x:c>
      <x:c r="BA21" s="6"/>
      <x:c r="BB21" s="7"/>
      <x:c r="BC21" s="7"/>
      <x:c r="BD21" s="8"/>
      <x:c r="BE21" s="2" t="e">
        <x:f>IF(AE21="Blocked","No",IF(AJ21&lt;=[1]Model_Parameters!$B$20,"Yes","No"))</x:f>
        <x:v>#NAME?</x:v>
      </x:c>
      <x:c r="BF21" s="2" t="str">
        <x:f t="shared" si="3"/>
        <x:v>Yes</x:v>
      </x:c>
      <x:c r="BG21" s="2" t="str">
        <x:f t="shared" si="4"/>
        <x:v>Yes</x:v>
      </x:c>
      <x:c r="BH21" s="24"/>
      <x:c r="BI21" s="24"/>
    </x:row>
    <x:row r="22">
      <x:c r="A22" s="2" t="s">
        <x:v>59</x:v>
      </x:c>
      <x:c r="B22" s="3">
        <x:v>38</x:v>
      </x:c>
      <x:c r="C22" s="2" t="s">
        <x:v>147</x:v>
      </x:c>
      <x:c r="D22" s="2" t="s">
        <x:v>148</x:v>
      </x:c>
      <x:c r="E22" s="2" t="s">
        <x:v>71</x:v>
      </x:c>
      <x:c r="F22" s="2" t="s">
        <x:v>72</x:v>
      </x:c>
      <x:c r="G22" s="3">
        <x:v>18</x:v>
      </x:c>
      <x:c r="H22" s="3">
        <x:v>1</x:v>
      </x:c>
      <x:c r="I22" s="3">
        <x:v>130</x:v>
      </x:c>
      <x:c r="J22" s="4">
        <x:v>8.1566068515497567E-2</x:v>
      </x:c>
      <x:c r="K22" s="3">
        <x:v>0</x:v>
      </x:c>
      <x:c r="L22" s="2" t="s">
        <x:v>146</x:v>
      </x:c>
      <x:c r="M22" s="3">
        <x:v>344</x:v>
      </x:c>
      <x:c r="N22" s="3">
        <x:v>23</x:v>
      </x:c>
      <x:c r="O22" s="5">
        <x:v>62.268873180405613</x:v>
      </x:c>
      <x:c r="P22" s="5">
        <x:v>21.294146771877351</x:v>
      </x:c>
      <x:c r="Q22" s="5"/>
      <x:c r="R22" s="5">
        <x:v>80.221054242320804</x:v>
      </x:c>
      <x:c r="S22" s="5">
        <x:f t="shared" si="0"/>
        <x:v>36.693121281905398</x:v>
      </x:c>
      <x:c r="T22" s="5">
        <x:f t="shared" si="1"/>
        <x:v>36.693121281905398</x:v>
      </x:c>
      <x:c r="U22" s="5" t="e">
        <x:f>T22/[1]Model_Parameters!$B$22</x:f>
        <x:v>#NAME?</x:v>
      </x:c>
      <x:c r="V22" s="5">
        <x:v>178.37046095223209</x:v>
      </x:c>
      <x:c r="W22" s="5">
        <x:v>178.37046095223209</x:v>
      </x:c>
      <x:c r="X22" s="5">
        <x:v>93.293148605316503</x:v>
      </x:c>
      <x:c r="Y22" s="3">
        <x:v>10</x:v>
      </x:c>
      <x:c r="Z22" s="3">
        <x:v>1</x:v>
      </x:c>
      <x:c r="AA22" s="3">
        <x:v>2</x:v>
      </x:c>
      <x:c r="AB22" s="2"/>
      <x:c r="AC22" s="3"/>
      <x:c r="AD22" s="3"/>
      <x:c r="AE22" s="2" t="s">
        <x:v>136</x:v>
      </x:c>
      <x:c r="AF22" s="3">
        <x:v>5</x:v>
      </x:c>
      <x:c r="AG22" s="3">
        <x:v>0</x:v>
      </x:c>
      <x:c r="AH22" s="2" t="s">
        <x:v>121</x:v>
      </x:c>
      <x:c r="AI22" s="3">
        <x:v>24</x:v>
      </x:c>
      <x:c r="AJ22" s="3">
        <x:v>5</x:v>
      </x:c>
      <x:c r="AK22" s="2" t="s">
        <x:v>66</x:v>
      </x:c>
      <x:c r="AL22" s="3">
        <x:v>0</x:v>
      </x:c>
      <x:c r="AM22" s="2" t="s">
        <x:v>149</x:v>
      </x:c>
      <x:c r="AN22" s="3">
        <x:v>25</x:v>
      </x:c>
      <x:c r="AO22" s="3">
        <x:v>15</x:v>
      </x:c>
      <x:c r="AP22" s="3">
        <x:v>20</x:v>
      </x:c>
      <x:c r="AQ22" s="5">
        <x:v>39.330992501001703</x:v>
      </x:c>
      <x:c r="AR22" s="5">
        <x:v>36.693121281905391</x:v>
      </x:c>
      <x:c r="AS22" s="5">
        <x:f t="shared" si="2"/>
        <x:v>99.999999999999972</x:v>
      </x:c>
      <x:c r="AT22" s="5">
        <x:v>157.32397000400681</x:v>
      </x:c>
      <x:c r="AU22" s="5">
        <x:v>178.37046095223209</x:v>
      </x:c>
      <x:c r="AV22" s="5">
        <x:v>80.221054242320804</x:v>
      </x:c>
      <x:c r="AW22" s="2" t="b">
        <x:v>0</x:v>
      </x:c>
      <x:c r="AX22" s="2"/>
      <x:c r="AY22" s="2" t="s">
        <x:v>75</x:v>
      </x:c>
      <x:c r="AZ22" s="6">
        <x:v>23</x:v>
      </x:c>
      <x:c r="BA22" s="6"/>
      <x:c r="BB22" s="7"/>
      <x:c r="BC22" s="7"/>
      <x:c r="BD22" s="8"/>
      <x:c r="BE22" s="2" t="e">
        <x:f>IF(AE22="Blocked","No",IF(AJ22&lt;=[1]Model_Parameters!$B$20,"Yes","No"))</x:f>
        <x:v>#NAME?</x:v>
      </x:c>
      <x:c r="BF22" s="2" t="str">
        <x:f t="shared" si="3"/>
        <x:v>Yes</x:v>
      </x:c>
      <x:c r="BG22" s="2" t="str">
        <x:f t="shared" si="4"/>
        <x:v>Yes</x:v>
      </x:c>
      <x:c r="BH22" s="24"/>
      <x:c r="BI22" s="24"/>
    </x:row>
    <x:row r="23">
      <x:c r="A23" s="2" t="s">
        <x:v>59</x:v>
      </x:c>
      <x:c r="B23" s="3">
        <x:v>40</x:v>
      </x:c>
      <x:c r="C23" s="2" t="s">
        <x:v>150</x:v>
      </x:c>
      <x:c r="D23" s="2" t="s">
        <x:v>151</x:v>
      </x:c>
      <x:c r="E23" s="2" t="s">
        <x:v>71</x:v>
      </x:c>
      <x:c r="F23" s="2" t="s">
        <x:v>72</x:v>
      </x:c>
      <x:c r="G23" s="3">
        <x:v>19</x:v>
      </x:c>
      <x:c r="H23" s="3">
        <x:v>1</x:v>
      </x:c>
      <x:c r="I23" s="3">
        <x:v>130</x:v>
      </x:c>
      <x:c r="J23" s="4">
        <x:v>8.1566068515497567E-2</x:v>
      </x:c>
      <x:c r="K23" s="3">
        <x:v>0</x:v>
      </x:c>
      <x:c r="L23" s="2" t="s">
        <x:v>152</x:v>
      </x:c>
      <x:c r="M23" s="3">
        <x:v>353</x:v>
      </x:c>
      <x:c r="N23" s="3">
        <x:v>24</x:v>
      </x:c>
      <x:c r="O23" s="5">
        <x:v>80.523129443891122</x:v>
      </x:c>
      <x:c r="P23" s="5">
        <x:v>5.9177036259217068</x:v>
      </x:c>
      <x:c r="Q23" s="5"/>
      <x:c r="R23" s="5">
        <x:v>72.456193944017656</x:v>
      </x:c>
      <x:c r="S23" s="5">
        <x:f t="shared" si="0"/>
        <x:v>53.578874688851364</x:v>
      </x:c>
      <x:c r="T23" s="5">
        <x:f t="shared" si="1"/>
        <x:v>53.578874688851364</x:v>
      </x:c>
      <x:c r="U23" s="5" t="e">
        <x:f>T23/[1]Model_Parameters!$B$22</x:f>
        <x:v>#NAME?</x:v>
      </x:c>
      <x:c r="V23" s="5">
        <x:v>389.88484637881891</x:v>
      </x:c>
      <x:c r="W23" s="5">
        <x:v>389.88484637881891</x:v>
      </x:c>
      <x:c r="X23" s="5">
        <x:v>93.320892512777732</x:v>
      </x:c>
      <x:c r="Y23" s="3">
        <x:v>10</x:v>
      </x:c>
      <x:c r="Z23" s="3">
        <x:v>0</x:v>
      </x:c>
      <x:c r="AA23" s="3">
        <x:v>1</x:v>
      </x:c>
      <x:c r="AB23" s="2"/>
      <x:c r="AC23" s="3"/>
      <x:c r="AD23" s="3"/>
      <x:c r="AE23" s="2" t="s">
        <x:v>136</x:v>
      </x:c>
      <x:c r="AF23" s="3">
        <x:v>1</x:v>
      </x:c>
      <x:c r="AG23" s="3">
        <x:v>0</x:v>
      </x:c>
      <x:c r="AH23" s="2" t="s">
        <x:v>153</x:v>
      </x:c>
      <x:c r="AI23" s="3">
        <x:v>24</x:v>
      </x:c>
      <x:c r="AJ23" s="3">
        <x:v>5</x:v>
      </x:c>
      <x:c r="AK23" s="2" t="s">
        <x:v>66</x:v>
      </x:c>
      <x:c r="AL23" s="3">
        <x:v>0</x:v>
      </x:c>
      <x:c r="AM23" s="2" t="s">
        <x:v>154</x:v>
      </x:c>
      <x:c r="AN23" s="3">
        <x:v>25</x:v>
      </x:c>
      <x:c r="AO23" s="3">
        <x:v>9</x:v>
      </x:c>
      <x:c r="AP23" s="3">
        <x:v>14</x:v>
      </x:c>
      <x:c r="AQ23" s="5">
        <x:v>57.413590082751533</x:v>
      </x:c>
      <x:c r="AR23" s="5">
        <x:v>53.578874688851378</x:v>
      </x:c>
      <x:c r="AS23" s="5">
        <x:f t="shared" si="2"/>
        <x:v>100.00000000000003</x:v>
      </x:c>
      <x:c r="AT23" s="5">
        <x:v>382.75726721834349</x:v>
      </x:c>
      <x:c r="AU23" s="5">
        <x:v>389.88484637881891</x:v>
      </x:c>
      <x:c r="AV23" s="5">
        <x:v>72.456193944017656</x:v>
      </x:c>
      <x:c r="AW23" s="2" t="b">
        <x:v>0</x:v>
      </x:c>
      <x:c r="AX23" s="2"/>
      <x:c r="AY23" s="2" t="s">
        <x:v>75</x:v>
      </x:c>
      <x:c r="AZ23" s="6">
        <x:v>24</x:v>
      </x:c>
      <x:c r="BA23" s="6"/>
      <x:c r="BB23" s="7"/>
      <x:c r="BC23" s="7"/>
      <x:c r="BD23" s="8"/>
      <x:c r="BE23" s="2" t="e">
        <x:f>IF(AE23="Blocked","No",IF(AJ23&lt;=[1]Model_Parameters!$B$20,"Yes","No"))</x:f>
        <x:v>#NAME?</x:v>
      </x:c>
      <x:c r="BF23" s="2" t="str">
        <x:f t="shared" si="3"/>
        <x:v>Yes</x:v>
      </x:c>
      <x:c r="BG23" s="2" t="str">
        <x:f t="shared" si="4"/>
        <x:v>Yes</x:v>
      </x:c>
      <x:c r="BH23" s="24"/>
      <x:c r="BI23" s="24"/>
    </x:row>
    <x:row r="24">
      <x:c r="A24" s="2" t="s">
        <x:v>59</x:v>
      </x:c>
      <x:c r="B24" s="3">
        <x:v>41</x:v>
      </x:c>
      <x:c r="C24" s="2" t="s">
        <x:v>155</x:v>
      </x:c>
      <x:c r="D24" s="2" t="s">
        <x:v>156</x:v>
      </x:c>
      <x:c r="E24" s="2" t="s">
        <x:v>71</x:v>
      </x:c>
      <x:c r="F24" s="2" t="s">
        <x:v>72</x:v>
      </x:c>
      <x:c r="G24" s="3">
        <x:v>20</x:v>
      </x:c>
      <x:c r="H24" s="3">
        <x:v>1</x:v>
      </x:c>
      <x:c r="I24" s="3">
        <x:v>130</x:v>
      </x:c>
      <x:c r="J24" s="4">
        <x:v>8.1566068515497567E-2</x:v>
      </x:c>
      <x:c r="K24" s="3">
        <x:v>0</x:v>
      </x:c>
      <x:c r="L24" s="2" t="s">
        <x:v>152</x:v>
      </x:c>
      <x:c r="M24" s="3">
        <x:v>353</x:v>
      </x:c>
      <x:c r="N24" s="3">
        <x:v>24</x:v>
      </x:c>
      <x:c r="O24" s="5">
        <x:v>97.57678025392299</x:v>
      </x:c>
      <x:c r="P24" s="5">
        <x:v>7.7871767639932958</x:v>
      </x:c>
      <x:c r="Q24" s="5"/>
      <x:c r="R24" s="5">
        <x:v>81.72754823538294</x:v>
      </x:c>
      <x:c r="S24" s="5">
        <x:f t="shared" si="0"/>
        <x:v>72.14863378957223</x:v>
      </x:c>
      <x:c r="T24" s="5">
        <x:f t="shared" si="1"/>
        <x:v>72.14863378957223</x:v>
      </x:c>
      <x:c r="U24" s="5" t="e">
        <x:f>T24/[1]Model_Parameters!$B$22</x:f>
        <x:v>#NAME?</x:v>
      </x:c>
      <x:c r="V24" s="5">
        <x:v>423.27393538445779</x:v>
      </x:c>
      <x:c r="W24" s="5">
        <x:v>423.27393538445779</x:v>
      </x:c>
      <x:c r="X24" s="5">
        <x:v>94.009487945018961</x:v>
      </x:c>
      <x:c r="Y24" s="3">
        <x:v>10</x:v>
      </x:c>
      <x:c r="Z24" s="3">
        <x:v>1</x:v>
      </x:c>
      <x:c r="AA24" s="3">
        <x:v>2</x:v>
      </x:c>
      <x:c r="AB24" s="2"/>
      <x:c r="AC24" s="3"/>
      <x:c r="AD24" s="3"/>
      <x:c r="AE24" s="2" t="s">
        <x:v>136</x:v>
      </x:c>
      <x:c r="AF24" s="3">
        <x:v>3</x:v>
      </x:c>
      <x:c r="AG24" s="3">
        <x:v>0</x:v>
      </x:c>
      <x:c r="AH24" s="2" t="s">
        <x:v>142</x:v>
      </x:c>
      <x:c r="AI24" s="3">
        <x:v>24</x:v>
      </x:c>
      <x:c r="AJ24" s="3">
        <x:v>6</x:v>
      </x:c>
      <x:c r="AK24" s="2" t="s">
        <x:v>66</x:v>
      </x:c>
      <x:c r="AL24" s="3">
        <x:v>0</x:v>
      </x:c>
      <x:c r="AM24" s="2" t="s">
        <x:v>157</x:v>
      </x:c>
      <x:c r="AN24" s="3">
        <x:v>25</x:v>
      </x:c>
      <x:c r="AO24" s="3">
        <x:v>12</x:v>
      </x:c>
      <x:c r="AP24" s="3">
        <x:v>18</x:v>
      </x:c>
      <x:c r="AQ24" s="5">
        <x:v>76.746119319113873</x:v>
      </x:c>
      <x:c r="AR24" s="5">
        <x:v>72.148633789572244</x:v>
      </x:c>
      <x:c r="AS24" s="5">
        <x:f t="shared" si="2"/>
        <x:v>100.00000000000003</x:v>
      </x:c>
      <x:c r="AT24" s="5">
        <x:v>383.73059659556941</x:v>
      </x:c>
      <x:c r="AU24" s="5">
        <x:v>423.27393538445779</x:v>
      </x:c>
      <x:c r="AV24" s="5">
        <x:v>81.72754823538294</x:v>
      </x:c>
      <x:c r="AW24" s="2" t="b">
        <x:v>0</x:v>
      </x:c>
      <x:c r="AX24" s="2"/>
      <x:c r="AY24" s="2" t="s">
        <x:v>75</x:v>
      </x:c>
      <x:c r="AZ24" s="6">
        <x:v>24</x:v>
      </x:c>
      <x:c r="BA24" s="6"/>
      <x:c r="BB24" s="7"/>
      <x:c r="BC24" s="7"/>
      <x:c r="BD24" s="8"/>
      <x:c r="BE24" s="2" t="e">
        <x:f>IF(AE24="Blocked","No",IF(AJ24&lt;=[1]Model_Parameters!$B$20,"Yes","No"))</x:f>
        <x:v>#NAME?</x:v>
      </x:c>
      <x:c r="BF24" s="2" t="str">
        <x:f t="shared" si="3"/>
        <x:v>Yes</x:v>
      </x:c>
      <x:c r="BG24" s="2" t="str">
        <x:f t="shared" si="4"/>
        <x:v>Yes</x:v>
      </x:c>
      <x:c r="BH24" s="24"/>
      <x:c r="BI24" s="24"/>
    </x:row>
    <x:row r="25">
      <x:c r="A25" s="2" t="s">
        <x:v>59</x:v>
      </x:c>
      <x:c r="B25" s="3">
        <x:v>44</x:v>
      </x:c>
      <x:c r="C25" s="2" t="s">
        <x:v>158</x:v>
      </x:c>
      <x:c r="D25" s="2" t="s">
        <x:v>159</x:v>
      </x:c>
      <x:c r="E25" s="2" t="s">
        <x:v>71</x:v>
      </x:c>
      <x:c r="F25" s="2" t="s">
        <x:v>72</x:v>
      </x:c>
      <x:c r="G25" s="3">
        <x:v>21</x:v>
      </x:c>
      <x:c r="H25" s="3">
        <x:v>1</x:v>
      </x:c>
      <x:c r="I25" s="3">
        <x:v>130</x:v>
      </x:c>
      <x:c r="J25" s="4">
        <x:v>9.7879282218597069E-2</x:v>
      </x:c>
      <x:c r="K25" s="3">
        <x:v>0</x:v>
      </x:c>
      <x:c r="L25" s="2" t="s">
        <x:v>160</x:v>
      </x:c>
      <x:c r="M25" s="3">
        <x:v>360</x:v>
      </x:c>
      <x:c r="N25" s="3">
        <x:v>25</x:v>
      </x:c>
      <x:c r="O25" s="5">
        <x:v>91.701657528405278</x:v>
      </x:c>
      <x:c r="P25" s="5">
        <x:v>45.54735209702671</x:v>
      </x:c>
      <x:c r="Q25" s="5"/>
      <x:c r="R25" s="5">
        <x:v>87.344741506041387</x:v>
      </x:c>
      <x:c r="S25" s="5">
        <x:f t="shared" si="0"/>
        <x:v>38.32889889166858</x:v>
      </x:c>
      <x:c r="T25" s="5">
        <x:f t="shared" si="1"/>
        <x:v>38.32889889166858</x:v>
      </x:c>
      <x:c r="U25" s="5" t="e">
        <x:f>T25/[1]Model_Parameters!$B$22</x:f>
        <x:v>#NAME?</x:v>
      </x:c>
      <x:c r="V25" s="5">
        <x:v>237.94485550264471</x:v>
      </x:c>
      <x:c r="W25" s="5">
        <x:v>237.94485550264471</x:v>
      </x:c>
      <x:c r="X25" s="5">
        <x:v>90.027801190833728</x:v>
      </x:c>
      <x:c r="Y25" s="3">
        <x:v>9</x:v>
      </x:c>
      <x:c r="Z25" s="3">
        <x:v>0</x:v>
      </x:c>
      <x:c r="AA25" s="3"/>
      <x:c r="AB25" s="2"/>
      <x:c r="AC25" s="3"/>
      <x:c r="AD25" s="3"/>
      <x:c r="AE25" s="2" t="s">
        <x:v>65</x:v>
      </x:c>
      <x:c r="AF25" s="3">
        <x:v>9</x:v>
      </x:c>
      <x:c r="AG25" s="3">
        <x:v>0</x:v>
      </x:c>
      <x:c r="AH25" s="2" t="s">
        <x:v>160</x:v>
      </x:c>
      <x:c r="AI25" s="3">
        <x:v>25</x:v>
      </x:c>
      <x:c r="AJ25" s="3">
        <x:v>0</x:v>
      </x:c>
      <x:c r="AK25" s="2" t="s">
        <x:v>66</x:v>
      </x:c>
      <x:c r="AL25" s="3">
        <x:v>0</x:v>
      </x:c>
      <x:c r="AM25" s="2" t="s">
        <x:v>137</x:v>
      </x:c>
      <x:c r="AN25" s="3">
        <x:v>25</x:v>
      </x:c>
      <x:c r="AO25" s="3">
        <x:v>14</x:v>
      </x:c>
      <x:c r="AP25" s="3">
        <x:v>14</x:v>
      </x:c>
      <x:c r="AQ25" s="5">
        <x:v>42.574514077514827</x:v>
      </x:c>
      <x:c r="AR25" s="5">
        <x:v>38.328898891668572</x:v>
      </x:c>
      <x:c r="AS25" s="5">
        <x:f t="shared" si="2"/>
        <x:v>99.999999999999972</x:v>
      </x:c>
      <x:c r="AT25" s="5">
        <x:v>182.46220318934931</x:v>
      </x:c>
      <x:c r="AU25" s="5">
        <x:v>237.94485550264471</x:v>
      </x:c>
      <x:c r="AV25" s="5">
        <x:v>87.344741506041387</x:v>
      </x:c>
      <x:c r="AW25" s="2" t="b">
        <x:v>0</x:v>
      </x:c>
      <x:c r="AX25" s="2"/>
      <x:c r="AY25" s="2" t="s">
        <x:v>75</x:v>
      </x:c>
      <x:c r="AZ25" s="6">
        <x:v>25</x:v>
      </x:c>
      <x:c r="BA25" s="6"/>
      <x:c r="BB25" s="7"/>
      <x:c r="BC25" s="7"/>
      <x:c r="BD25" s="8"/>
      <x:c r="BE25" s="2" t="e">
        <x:f>IF(AE25="Blocked","No",IF(AJ25&lt;=[1]Model_Parameters!$B$20,"Yes","No"))</x:f>
        <x:v>#NAME?</x:v>
      </x:c>
      <x:c r="BF25" s="2" t="str">
        <x:f t="shared" si="3"/>
        <x:v>Yes</x:v>
      </x:c>
      <x:c r="BG25" s="2" t="str">
        <x:f t="shared" si="4"/>
        <x:v>Yes</x:v>
      </x:c>
      <x:c r="BH25" s="24"/>
      <x:c r="BI25" s="24"/>
    </x:row>
    <x:row r="26">
      <x:c r="A26" s="2" t="s">
        <x:v>59</x:v>
      </x:c>
      <x:c r="B26" s="3">
        <x:v>45</x:v>
      </x:c>
      <x:c r="C26" s="2" t="s">
        <x:v>161</x:v>
      </x:c>
      <x:c r="D26" s="2" t="s">
        <x:v>162</x:v>
      </x:c>
      <x:c r="E26" s="2" t="s">
        <x:v>71</x:v>
      </x:c>
      <x:c r="F26" s="2" t="s">
        <x:v>72</x:v>
      </x:c>
      <x:c r="G26" s="3">
        <x:v>22</x:v>
      </x:c>
      <x:c r="H26" s="3">
        <x:v>1</x:v>
      </x:c>
      <x:c r="I26" s="3">
        <x:v>130</x:v>
      </x:c>
      <x:c r="J26" s="4">
        <x:v>9.7879282218597069E-2</x:v>
      </x:c>
      <x:c r="K26" s="3">
        <x:v>0</x:v>
      </x:c>
      <x:c r="L26" s="2" t="s">
        <x:v>149</x:v>
      </x:c>
      <x:c r="M26" s="3">
        <x:v>364</x:v>
      </x:c>
      <x:c r="N26" s="3">
        <x:v>25</x:v>
      </x:c>
      <x:c r="O26" s="5">
        <x:v>71.450790888718785</x:v>
      </x:c>
      <x:c r="P26" s="5">
        <x:v>60.166061342836493</x:v>
      </x:c>
      <x:c r="Q26" s="5"/>
      <x:c r="R26" s="5">
        <x:v>85.632323266879879</x:v>
      </x:c>
      <x:c r="S26" s="5">
        <x:f t="shared" si="0"/>
        <x:v>18.195845554521654</x:v>
      </x:c>
      <x:c r="T26" s="5">
        <x:f t="shared" si="1"/>
        <x:v>18.195845554521654</x:v>
      </x:c>
      <x:c r="U26" s="5" t="e">
        <x:f>T26/[1]Model_Parameters!$B$22</x:f>
        <x:v>#NAME?</x:v>
      </x:c>
      <x:c r="V26" s="5">
        <x:v>325.9426084745723</x:v>
      </x:c>
      <x:c r="W26" s="5">
        <x:v>325.9426084745723</x:v>
      </x:c>
      <x:c r="X26" s="5">
        <x:v>91.065657575061493</x:v>
      </x:c>
      <x:c r="Y26" s="3">
        <x:v>9</x:v>
      </x:c>
      <x:c r="Z26" s="3">
        <x:v>0</x:v>
      </x:c>
      <x:c r="AA26" s="3"/>
      <x:c r="AB26" s="2"/>
      <x:c r="AC26" s="3"/>
      <x:c r="AD26" s="3"/>
      <x:c r="AE26" s="2" t="s">
        <x:v>65</x:v>
      </x:c>
      <x:c r="AF26" s="3">
        <x:v>5</x:v>
      </x:c>
      <x:c r="AG26" s="3">
        <x:v>0</x:v>
      </x:c>
      <x:c r="AH26" s="2" t="s">
        <x:v>149</x:v>
      </x:c>
      <x:c r="AI26" s="3">
        <x:v>25</x:v>
      </x:c>
      <x:c r="AJ26" s="3">
        <x:v>0</x:v>
      </x:c>
      <x:c r="AK26" s="2" t="s">
        <x:v>66</x:v>
      </x:c>
      <x:c r="AL26" s="3">
        <x:v>0</x:v>
      </x:c>
      <x:c r="AM26" s="2" t="s">
        <x:v>163</x:v>
      </x:c>
      <x:c r="AN26" s="3">
        <x:v>25</x:v>
      </x:c>
      <x:c r="AO26" s="3">
        <x:v>5</x:v>
      </x:c>
      <x:c r="AP26" s="3">
        <x:v>5</x:v>
      </x:c>
      <x:c r="AQ26" s="5">
        <x:v>19.981018134661358</x:v>
      </x:c>
      <x:c r="AR26" s="5">
        <x:v>18.19584555452165</x:v>
      </x:c>
      <x:c r="AS26" s="5">
        <x:f t="shared" si="2"/>
        <x:v>99.999999999999972</x:v>
      </x:c>
      <x:c r="AT26" s="5">
        <x:v>239.77221761593631</x:v>
      </x:c>
      <x:c r="AU26" s="5">
        <x:v>325.9426084745723</x:v>
      </x:c>
      <x:c r="AV26" s="5">
        <x:v>85.632323266879879</x:v>
      </x:c>
      <x:c r="AW26" s="2" t="b">
        <x:v>0</x:v>
      </x:c>
      <x:c r="AX26" s="2"/>
      <x:c r="AY26" s="2" t="s">
        <x:v>75</x:v>
      </x:c>
      <x:c r="AZ26" s="6">
        <x:v>25</x:v>
      </x:c>
      <x:c r="BA26" s="6"/>
      <x:c r="BB26" s="7"/>
      <x:c r="BC26" s="7"/>
      <x:c r="BD26" s="8"/>
      <x:c r="BE26" s="2" t="e">
        <x:f>IF(AE26="Blocked","No",IF(AJ26&lt;=[1]Model_Parameters!$B$20,"Yes","No"))</x:f>
        <x:v>#NAME?</x:v>
      </x:c>
      <x:c r="BF26" s="2" t="str">
        <x:f t="shared" si="3"/>
        <x:v>Yes</x:v>
      </x:c>
      <x:c r="BG26" s="2" t="str">
        <x:f t="shared" si="4"/>
        <x:v>Yes</x:v>
      </x:c>
      <x:c r="BH26" s="24"/>
      <x:c r="BI26" s="24"/>
    </x:row>
    <x:row r="27">
      <x:c r="A27" s="2" t="s">
        <x:v>59</x:v>
      </x:c>
      <x:c r="B27" s="3">
        <x:v>46</x:v>
      </x:c>
      <x:c r="C27" s="2" t="s">
        <x:v>164</x:v>
      </x:c>
      <x:c r="D27" s="2" t="s">
        <x:v>165</x:v>
      </x:c>
      <x:c r="E27" s="2" t="s">
        <x:v>71</x:v>
      </x:c>
      <x:c r="F27" s="2" t="s">
        <x:v>72</x:v>
      </x:c>
      <x:c r="G27" s="3">
        <x:v>23</x:v>
      </x:c>
      <x:c r="H27" s="3">
        <x:v>1</x:v>
      </x:c>
      <x:c r="I27" s="3">
        <x:v>130</x:v>
      </x:c>
      <x:c r="J27" s="4">
        <x:v>9.7879282218597069E-2</x:v>
      </x:c>
      <x:c r="K27" s="3">
        <x:v>0</x:v>
      </x:c>
      <x:c r="L27" s="2" t="s">
        <x:v>166</x:v>
      </x:c>
      <x:c r="M27" s="3">
        <x:v>365</x:v>
      </x:c>
      <x:c r="N27" s="3">
        <x:v>25</x:v>
      </x:c>
      <x:c r="O27" s="5">
        <x:v>74.30827578151748</x:v>
      </x:c>
      <x:c r="P27" s="5">
        <x:v>15.85526244724009</x:v>
      </x:c>
      <x:c r="Q27" s="5"/>
      <x:c r="R27" s="5">
        <x:v>82.407773593068157</x:v>
      </x:c>
      <x:c r="S27" s="5">
        <x:f t="shared" si="0"/>
        <x:v>49.454023521767077</x:v>
      </x:c>
      <x:c r="T27" s="5">
        <x:f t="shared" si="1"/>
        <x:v>49.454023521767077</x:v>
      </x:c>
      <x:c r="U27" s="5" t="e">
        <x:f>T27/[1]Model_Parameters!$B$22</x:f>
        <x:v>#NAME?</x:v>
      </x:c>
      <x:c r="V27" s="5">
        <x:v>161.6865414927455</x:v>
      </x:c>
      <x:c r="W27" s="5">
        <x:v>161.6865414927455</x:v>
      </x:c>
      <x:c r="X27" s="5">
        <x:v>91.087845521179801</x:v>
      </x:c>
      <x:c r="Y27" s="3">
        <x:v>10</x:v>
      </x:c>
      <x:c r="Z27" s="3">
        <x:v>0</x:v>
      </x:c>
      <x:c r="AA27" s="3">
        <x:v>1</x:v>
      </x:c>
      <x:c r="AB27" s="2"/>
      <x:c r="AC27" s="3"/>
      <x:c r="AD27" s="3"/>
      <x:c r="AE27" s="2" t="s">
        <x:v>136</x:v>
      </x:c>
      <x:c r="AF27" s="3">
        <x:v>4</x:v>
      </x:c>
      <x:c r="AG27" s="3">
        <x:v>0</x:v>
      </x:c>
      <x:c r="AH27" s="2" t="s">
        <x:v>167</x:v>
      </x:c>
      <x:c r="AI27" s="3">
        <x:v>25</x:v>
      </x:c>
      <x:c r="AJ27" s="3">
        <x:v>1</x:v>
      </x:c>
      <x:c r="AK27" s="2" t="s">
        <x:v>66</x:v>
      </x:c>
      <x:c r="AL27" s="3">
        <x:v>0</x:v>
      </x:c>
      <x:c r="AM27" s="2" t="s">
        <x:v>168</x:v>
      </x:c>
      <x:c r="AN27" s="3">
        <x:v>26</x:v>
      </x:c>
      <x:c r="AO27" s="3">
        <x:v>23</x:v>
      </x:c>
      <x:c r="AP27" s="3">
        <x:v>24</x:v>
      </x:c>
      <x:c r="AQ27" s="5">
        <x:v>54.292670156819113</x:v>
      </x:c>
      <x:c r="AR27" s="5">
        <x:v>49.454023521767077</x:v>
      </x:c>
      <x:c r="AS27" s="5">
        <x:f t="shared" si="2"/>
        <x:v>100</x:v>
      </x:c>
      <x:c r="AT27" s="5">
        <x:v>141.63305258300639</x:v>
      </x:c>
      <x:c r="AU27" s="5">
        <x:v>161.6865414927455</x:v>
      </x:c>
      <x:c r="AV27" s="5">
        <x:v>82.407773593068157</x:v>
      </x:c>
      <x:c r="AW27" s="2" t="b">
        <x:v>0</x:v>
      </x:c>
      <x:c r="AX27" s="2"/>
      <x:c r="AY27" s="2" t="s">
        <x:v>75</x:v>
      </x:c>
      <x:c r="AZ27" s="6">
        <x:v>25</x:v>
      </x:c>
      <x:c r="BA27" s="6"/>
      <x:c r="BB27" s="7"/>
      <x:c r="BC27" s="7"/>
      <x:c r="BD27" s="8"/>
      <x:c r="BE27" s="2" t="e">
        <x:f>IF(AE27="Blocked","No",IF(AJ27&lt;=[1]Model_Parameters!$B$20,"Yes","No"))</x:f>
        <x:v>#NAME?</x:v>
      </x:c>
      <x:c r="BF27" s="2" t="str">
        <x:f t="shared" si="3"/>
        <x:v>Yes</x:v>
      </x:c>
      <x:c r="BG27" s="2" t="str">
        <x:f t="shared" si="4"/>
        <x:v>Yes</x:v>
      </x:c>
      <x:c r="BH27" s="24"/>
      <x:c r="BI27" s="24"/>
    </x:row>
    <x:row r="28">
      <x:c r="A28" s="2" t="s">
        <x:v>59</x:v>
      </x:c>
      <x:c r="B28" s="3">
        <x:v>47</x:v>
      </x:c>
      <x:c r="C28" s="2" t="s">
        <x:v>169</x:v>
      </x:c>
      <x:c r="D28" s="2" t="s">
        <x:v>170</x:v>
      </x:c>
      <x:c r="E28" s="2" t="s">
        <x:v>71</x:v>
      </x:c>
      <x:c r="F28" s="2" t="s">
        <x:v>72</x:v>
      </x:c>
      <x:c r="G28" s="3">
        <x:v>24</x:v>
      </x:c>
      <x:c r="H28" s="3">
        <x:v>1</x:v>
      </x:c>
      <x:c r="I28" s="3">
        <x:v>130</x:v>
      </x:c>
      <x:c r="J28" s="4">
        <x:v>9.7879282218597069E-2</x:v>
      </x:c>
      <x:c r="K28" s="3">
        <x:v>0</x:v>
      </x:c>
      <x:c r="L28" s="2" t="s">
        <x:v>171</x:v>
      </x:c>
      <x:c r="M28" s="3">
        <x:v>373</x:v>
      </x:c>
      <x:c r="N28" s="3">
        <x:v>25</x:v>
      </x:c>
      <x:c r="O28" s="5">
        <x:v>103.150669605031</x:v>
      </x:c>
      <x:c r="P28" s="5">
        <x:v>36.957386390926601</x:v>
      </x:c>
      <x:c r="Q28" s="5"/>
      <x:c r="R28" s="5">
        <x:v>80.658476616823222</x:v>
      </x:c>
      <x:c r="S28" s="5">
        <x:f t="shared" si="0"/>
        <x:v>45.077967192711121</x:v>
      </x:c>
      <x:c r="T28" s="5">
        <x:f t="shared" si="1"/>
        <x:v>45.077967192711121</x:v>
      </x:c>
      <x:c r="U28" s="5" t="e">
        <x:f>T28/[1]Model_Parameters!$B$22</x:f>
        <x:v>#NAME?</x:v>
      </x:c>
      <x:c r="V28" s="5">
        <x:v>283.06254179988599</x:v>
      </x:c>
      <x:c r="W28" s="5">
        <x:v>283.06254179988599</x:v>
      </x:c>
      <x:c r="X28" s="5">
        <x:v>91.467355383146327</x:v>
      </x:c>
      <x:c r="Y28" s="3">
        <x:v>6</x:v>
      </x:c>
      <x:c r="Z28" s="3">
        <x:v>0</x:v>
      </x:c>
      <x:c r="AA28" s="3"/>
      <x:c r="AB28" s="2"/>
      <x:c r="AC28" s="3"/>
      <x:c r="AD28" s="3"/>
      <x:c r="AE28" s="2" t="s">
        <x:v>65</x:v>
      </x:c>
      <x:c r="AF28" s="3">
        <x:v>5</x:v>
      </x:c>
      <x:c r="AG28" s="3">
        <x:v>0</x:v>
      </x:c>
      <x:c r="AH28" s="2" t="s">
        <x:v>171</x:v>
      </x:c>
      <x:c r="AI28" s="3">
        <x:v>25</x:v>
      </x:c>
      <x:c r="AJ28" s="3">
        <x:v>0</x:v>
      </x:c>
      <x:c r="AK28" s="2" t="s">
        <x:v>66</x:v>
      </x:c>
      <x:c r="AL28" s="3">
        <x:v>0</x:v>
      </x:c>
      <x:c r="AM28" s="2" t="s">
        <x:v>172</x:v>
      </x:c>
      <x:c r="AN28" s="3">
        <x:v>26</x:v>
      </x:c>
      <x:c r="AO28" s="3">
        <x:v>12</x:v>
      </x:c>
      <x:c r="AP28" s="3">
        <x:v>12</x:v>
      </x:c>
      <x:c r="AQ28" s="5">
        <x:v>49.283120741694852</x:v>
      </x:c>
      <x:c r="AR28" s="5">
        <x:v>45.077967192711128</x:v>
      </x:c>
      <x:c r="AS28" s="5">
        <x:f t="shared" si="2"/>
        <x:v>100.00000000000003</x:v>
      </x:c>
      <x:c r="AT28" s="5">
        <x:v>246.41560370847421</x:v>
      </x:c>
      <x:c r="AU28" s="5">
        <x:v>283.06254179988599</x:v>
      </x:c>
      <x:c r="AV28" s="5">
        <x:v>80.658476616823222</x:v>
      </x:c>
      <x:c r="AW28" s="2" t="b">
        <x:v>0</x:v>
      </x:c>
      <x:c r="AX28" s="2"/>
      <x:c r="AY28" s="2" t="s">
        <x:v>75</x:v>
      </x:c>
      <x:c r="AZ28" s="6">
        <x:v>25</x:v>
      </x:c>
      <x:c r="BA28" s="6"/>
      <x:c r="BB28" s="7"/>
      <x:c r="BC28" s="7"/>
      <x:c r="BD28" s="8"/>
      <x:c r="BE28" s="2" t="e">
        <x:f>IF(AE28="Blocked","No",IF(AJ28&lt;=[1]Model_Parameters!$B$20,"Yes","No"))</x:f>
        <x:v>#NAME?</x:v>
      </x:c>
      <x:c r="BF28" s="2" t="str">
        <x:f t="shared" si="3"/>
        <x:v>Yes</x:v>
      </x:c>
      <x:c r="BG28" s="2" t="str">
        <x:f t="shared" si="4"/>
        <x:v>Yes</x:v>
      </x:c>
      <x:c r="BH28" s="24"/>
      <x:c r="BI28" s="24"/>
    </x:row>
    <x:row r="29">
      <x:c r="A29" s="2" t="s">
        <x:v>59</x:v>
      </x:c>
      <x:c r="B29" s="3">
        <x:v>52</x:v>
      </x:c>
      <x:c r="C29" s="2" t="s">
        <x:v>173</x:v>
      </x:c>
      <x:c r="D29" s="2" t="s">
        <x:v>174</x:v>
      </x:c>
      <x:c r="E29" s="2" t="s">
        <x:v>71</x:v>
      </x:c>
      <x:c r="F29" s="2" t="s">
        <x:v>72</x:v>
      </x:c>
      <x:c r="G29" s="3">
        <x:v>25</x:v>
      </x:c>
      <x:c r="H29" s="3">
        <x:v>1</x:v>
      </x:c>
      <x:c r="I29" s="3">
        <x:v>130</x:v>
      </x:c>
      <x:c r="J29" s="4">
        <x:v>9.7879282218597069E-2</x:v>
      </x:c>
      <x:c r="K29" s="3">
        <x:v>0</x:v>
      </x:c>
      <x:c r="L29" s="2" t="s">
        <x:v>175</x:v>
      </x:c>
      <x:c r="M29" s="3">
        <x:v>387</x:v>
      </x:c>
      <x:c r="N29" s="3">
        <x:v>26</x:v>
      </x:c>
      <x:c r="O29" s="5">
        <x:v>52.16689527976763</x:v>
      </x:c>
      <x:c r="P29" s="5">
        <x:v>6.6306307684761814</x:v>
      </x:c>
      <x:c r="Q29" s="5"/>
      <x:c r="R29" s="5">
        <x:v>76.531208173829057</x:v>
      </x:c>
      <x:c r="S29" s="5">
        <x:f t="shared" si="0"/>
        <x:v>36.464961015003354</x:v>
      </x:c>
      <x:c r="T29" s="5">
        <x:f t="shared" si="1"/>
        <x:v>36.464961015003354</x:v>
      </x:c>
      <x:c r="U29" s="5" t="e">
        <x:f>T29/[1]Model_Parameters!$B$22</x:f>
        <x:v>#NAME?</x:v>
      </x:c>
      <x:c r="V29" s="5">
        <x:v>207.58662339119721</x:v>
      </x:c>
      <x:c r="W29" s="5">
        <x:v>207.58662339119721</x:v>
      </x:c>
      <x:c r="X29" s="5">
        <x:v>90.217459198780475</x:v>
      </x:c>
      <x:c r="Y29" s="3">
        <x:v>7</x:v>
      </x:c>
      <x:c r="Z29" s="3">
        <x:v>0</x:v>
      </x:c>
      <x:c r="AA29" s="3"/>
      <x:c r="AB29" s="2"/>
      <x:c r="AC29" s="3"/>
      <x:c r="AD29" s="3"/>
      <x:c r="AE29" s="2" t="s">
        <x:v>65</x:v>
      </x:c>
      <x:c r="AF29" s="3">
        <x:v>2</x:v>
      </x:c>
      <x:c r="AG29" s="3">
        <x:v>0</x:v>
      </x:c>
      <x:c r="AH29" s="2" t="s">
        <x:v>175</x:v>
      </x:c>
      <x:c r="AI29" s="3">
        <x:v>26</x:v>
      </x:c>
      <x:c r="AJ29" s="3">
        <x:v>0</x:v>
      </x:c>
      <x:c r="AK29" s="2" t="s">
        <x:v>66</x:v>
      </x:c>
      <x:c r="AL29" s="3">
        <x:v>0</x:v>
      </x:c>
      <x:c r="AM29" s="2" t="s">
        <x:v>176</x:v>
      </x:c>
      <x:c r="AN29" s="3">
        <x:v>27</x:v>
      </x:c>
      <x:c r="AO29" s="3">
        <x:v>12</x:v>
      </x:c>
      <x:c r="AP29" s="3">
        <x:v>12</x:v>
      </x:c>
      <x:c r="AQ29" s="5">
        <x:v>40.418962514404612</x:v>
      </x:c>
      <x:c r="AR29" s="5">
        <x:v>36.464961015003347</x:v>
      </x:c>
      <x:c r="AS29" s="5">
        <x:f t="shared" si="2"/>
        <x:v>99.999999999999972</x:v>
      </x:c>
      <x:c r="AT29" s="5">
        <x:v>202.09481257202299</x:v>
      </x:c>
      <x:c r="AU29" s="5">
        <x:v>207.58662339119721</x:v>
      </x:c>
      <x:c r="AV29" s="5">
        <x:v>76.531208173829057</x:v>
      </x:c>
      <x:c r="AW29" s="2" t="b">
        <x:v>0</x:v>
      </x:c>
      <x:c r="AX29" s="2"/>
      <x:c r="AY29" s="2" t="s">
        <x:v>75</x:v>
      </x:c>
      <x:c r="AZ29" s="6">
        <x:v>26</x:v>
      </x:c>
      <x:c r="BA29" s="6"/>
      <x:c r="BB29" s="7"/>
      <x:c r="BC29" s="7"/>
      <x:c r="BD29" s="8"/>
      <x:c r="BE29" s="2" t="e">
        <x:f>IF(AE29="Blocked","No",IF(AJ29&lt;=[1]Model_Parameters!$B$20,"Yes","No"))</x:f>
        <x:v>#NAME?</x:v>
      </x:c>
      <x:c r="BF29" s="2" t="str">
        <x:f t="shared" si="3"/>
        <x:v>Yes</x:v>
      </x:c>
      <x:c r="BG29" s="2" t="str">
        <x:f t="shared" si="4"/>
        <x:v>Yes</x:v>
      </x:c>
      <x:c r="BH29" s="24"/>
      <x:c r="BI29" s="24"/>
    </x:row>
    <x:row r="30">
      <x:c r="A30" s="2" t="s">
        <x:v>59</x:v>
      </x:c>
      <x:c r="B30" s="3">
        <x:v>54</x:v>
      </x:c>
      <x:c r="C30" s="2" t="s">
        <x:v>177</x:v>
      </x:c>
      <x:c r="D30" s="2" t="s">
        <x:v>178</x:v>
      </x:c>
      <x:c r="E30" s="2" t="s">
        <x:v>71</x:v>
      </x:c>
      <x:c r="F30" s="2" t="s">
        <x:v>72</x:v>
      </x:c>
      <x:c r="G30" s="3">
        <x:v>26</x:v>
      </x:c>
      <x:c r="H30" s="3">
        <x:v>1</x:v>
      </x:c>
      <x:c r="I30" s="3">
        <x:v>130</x:v>
      </x:c>
      <x:c r="J30" s="4">
        <x:v>9.7879282218597069E-2</x:v>
      </x:c>
      <x:c r="K30" s="3">
        <x:v>0</x:v>
      </x:c>
      <x:c r="L30" s="2" t="s">
        <x:v>179</x:v>
      </x:c>
      <x:c r="M30" s="3">
        <x:v>391</x:v>
      </x:c>
      <x:c r="N30" s="3">
        <x:v>27</x:v>
      </x:c>
      <x:c r="O30" s="5">
        <x:v>91.168132570903367</x:v>
      </x:c>
      <x:c r="P30" s="5">
        <x:v>12.106476273209291</x:v>
      </x:c>
      <x:c r="Q30" s="5"/>
      <x:c r="R30" s="5">
        <x:v>68.637048230272086</x:v>
      </x:c>
      <x:c r="S30" s="5">
        <x:f t="shared" si="0"/>
        <x:v>51.537866784904935</x:v>
      </x:c>
      <x:c r="T30" s="5">
        <x:f t="shared" si="1"/>
        <x:v>51.537866784904935</x:v>
      </x:c>
      <x:c r="U30" s="5" t="e">
        <x:f>T30/[1]Model_Parameters!$B$22</x:f>
        <x:v>#NAME?</x:v>
      </x:c>
      <x:c r="V30" s="5">
        <x:v>282.87755266233938</x:v>
      </x:c>
      <x:c r="W30" s="5">
        <x:v>282.87755266233938</x:v>
      </x:c>
      <x:c r="X30" s="5">
        <x:v>94.714634159567922</x:v>
      </x:c>
      <x:c r="Y30" s="3">
        <x:v>8</x:v>
      </x:c>
      <x:c r="Z30" s="3">
        <x:v>0</x:v>
      </x:c>
      <x:c r="AA30" s="3"/>
      <x:c r="AB30" s="2"/>
      <x:c r="AC30" s="3"/>
      <x:c r="AD30" s="3"/>
      <x:c r="AE30" s="2" t="s">
        <x:v>65</x:v>
      </x:c>
      <x:c r="AF30" s="3">
        <x:v>4</x:v>
      </x:c>
      <x:c r="AG30" s="3">
        <x:v>0</x:v>
      </x:c>
      <x:c r="AH30" s="2" t="s">
        <x:v>179</x:v>
      </x:c>
      <x:c r="AI30" s="3">
        <x:v>27</x:v>
      </x:c>
      <x:c r="AJ30" s="3">
        <x:v>0</x:v>
      </x:c>
      <x:c r="AK30" s="2" t="s">
        <x:v>66</x:v>
      </x:c>
      <x:c r="AL30" s="3">
        <x:v>0</x:v>
      </x:c>
      <x:c r="AM30" s="2" t="s">
        <x:v>180</x:v>
      </x:c>
      <x:c r="AN30" s="3">
        <x:v>27</x:v>
      </x:c>
      <x:c r="AO30" s="3">
        <x:v>12</x:v>
      </x:c>
      <x:c r="AP30" s="3">
        <x:v>12</x:v>
      </x:c>
      <x:c r="AQ30" s="5">
        <x:v>54.413837145881708</x:v>
      </x:c>
      <x:c r="AR30" s="5">
        <x:v>51.537866784904963</x:v>
      </x:c>
      <x:c r="AS30" s="5">
        <x:f t="shared" si="2"/>
        <x:v>100.00000000000004</x:v>
      </x:c>
      <x:c r="AT30" s="5">
        <x:v>272.06918572940862</x:v>
      </x:c>
      <x:c r="AU30" s="5">
        <x:v>282.87755266233938</x:v>
      </x:c>
      <x:c r="AV30" s="5">
        <x:v>68.637048230272086</x:v>
      </x:c>
      <x:c r="AW30" s="2" t="b">
        <x:v>0</x:v>
      </x:c>
      <x:c r="AX30" s="2"/>
      <x:c r="AY30" s="2" t="s">
        <x:v>75</x:v>
      </x:c>
      <x:c r="AZ30" s="6">
        <x:v>27</x:v>
      </x:c>
      <x:c r="BA30" s="6"/>
      <x:c r="BB30" s="7"/>
      <x:c r="BC30" s="7"/>
      <x:c r="BD30" s="8"/>
      <x:c r="BE30" s="2" t="e">
        <x:f>IF(AE30="Blocked","No",IF(AJ30&lt;=[1]Model_Parameters!$B$20,"Yes","No"))</x:f>
        <x:v>#NAME?</x:v>
      </x:c>
      <x:c r="BF30" s="2" t="str">
        <x:f t="shared" si="3"/>
        <x:v>Yes</x:v>
      </x:c>
      <x:c r="BG30" s="2" t="str">
        <x:f t="shared" si="4"/>
        <x:v>Yes</x:v>
      </x:c>
      <x:c r="BH30" s="24"/>
      <x:c r="BI30" s="24"/>
    </x:row>
    <x:row r="31">
      <x:c r="A31" s="2" t="s">
        <x:v>59</x:v>
      </x:c>
      <x:c r="B31" s="3">
        <x:v>55</x:v>
      </x:c>
      <x:c r="C31" s="2" t="s">
        <x:v>181</x:v>
      </x:c>
      <x:c r="D31" s="2" t="s">
        <x:v>182</x:v>
      </x:c>
      <x:c r="E31" s="2" t="s">
        <x:v>71</x:v>
      </x:c>
      <x:c r="F31" s="2" t="s">
        <x:v>72</x:v>
      </x:c>
      <x:c r="G31" s="3">
        <x:v>27</x:v>
      </x:c>
      <x:c r="H31" s="3">
        <x:v>1</x:v>
      </x:c>
      <x:c r="I31" s="3">
        <x:v>130</x:v>
      </x:c>
      <x:c r="J31" s="4">
        <x:v>9.7879282218597069E-2</x:v>
      </x:c>
      <x:c r="K31" s="3">
        <x:v>0</x:v>
      </x:c>
      <x:c r="L31" s="2" t="s">
        <x:v>183</x:v>
      </x:c>
      <x:c r="M31" s="3">
        <x:v>398</x:v>
      </x:c>
      <x:c r="N31" s="3">
        <x:v>27</x:v>
      </x:c>
      <x:c r="O31" s="5">
        <x:v>129.14012234585249</x:v>
      </x:c>
      <x:c r="P31" s="5">
        <x:v>23.230932228754781</x:v>
      </x:c>
      <x:c r="Q31" s="5"/>
      <x:c r="R31" s="5">
        <x:v>42.814234344660811</x:v>
      </x:c>
      <x:c r="S31" s="5">
        <x:f t="shared" si="0"/>
        <x:v>25.289900311838963</x:v>
      </x:c>
      <x:c r="T31" s="5">
        <x:f t="shared" si="1"/>
        <x:v>25.289900311838963</x:v>
      </x:c>
      <x:c r="U31" s="5" t="e">
        <x:f>T31/[1]Model_Parameters!$B$22</x:f>
        <x:v>#NAME?</x:v>
      </x:c>
      <x:c r="V31" s="5">
        <x:v>246.7734699781042</x:v>
      </x:c>
      <x:c r="W31" s="5">
        <x:v>246.7734699781042</x:v>
      </x:c>
      <x:c r="X31" s="5">
        <x:v>90.179873014457954</x:v>
      </x:c>
      <x:c r="Y31" s="3">
        <x:v>6</x:v>
      </x:c>
      <x:c r="Z31" s="3">
        <x:v>0</x:v>
      </x:c>
      <x:c r="AA31" s="3"/>
      <x:c r="AB31" s="2"/>
      <x:c r="AC31" s="3"/>
      <x:c r="AD31" s="3"/>
      <x:c r="AE31" s="2" t="s">
        <x:v>65</x:v>
      </x:c>
      <x:c r="AF31" s="3">
        <x:v>5</x:v>
      </x:c>
      <x:c r="AG31" s="3">
        <x:v>0</x:v>
      </x:c>
      <x:c r="AH31" s="2" t="s">
        <x:v>183</x:v>
      </x:c>
      <x:c r="AI31" s="3">
        <x:v>27</x:v>
      </x:c>
      <x:c r="AJ31" s="3">
        <x:v>0</x:v>
      </x:c>
      <x:c r="AK31" s="2" t="s">
        <x:v>66</x:v>
      </x:c>
      <x:c r="AL31" s="3">
        <x:v>0</x:v>
      </x:c>
      <x:c r="AM31" s="2" t="s">
        <x:v>184</x:v>
      </x:c>
      <x:c r="AN31" s="3">
        <x:v>28</x:v>
      </x:c>
      <x:c r="AO31" s="3">
        <x:v>7</x:v>
      </x:c>
      <x:c r="AP31" s="3">
        <x:v>7</x:v>
      </x:c>
      <x:c r="AQ31" s="5">
        <x:v>28.043841121604189</x:v>
      </x:c>
      <x:c r="AR31" s="5">
        <x:v>25.289900311838998</x:v>
      </x:c>
      <x:c r="AS31" s="5">
        <x:f t="shared" si="2"/>
        <x:v>100.00000000000013</x:v>
      </x:c>
      <x:c r="AT31" s="5">
        <x:v>240.37578104232159</x:v>
      </x:c>
      <x:c r="AU31" s="5">
        <x:v>246.7734699781042</x:v>
      </x:c>
      <x:c r="AV31" s="5">
        <x:v>42.814234344660811</x:v>
      </x:c>
      <x:c r="AW31" s="2" t="b">
        <x:v>0</x:v>
      </x:c>
      <x:c r="AX31" s="2"/>
      <x:c r="AY31" s="2" t="s">
        <x:v>75</x:v>
      </x:c>
      <x:c r="AZ31" s="6">
        <x:v>27</x:v>
      </x:c>
      <x:c r="BA31" s="6"/>
      <x:c r="BB31" s="7"/>
      <x:c r="BC31" s="7"/>
      <x:c r="BD31" s="8"/>
      <x:c r="BE31" s="2" t="e">
        <x:f>IF(AE31="Blocked","No",IF(AJ31&lt;=[1]Model_Parameters!$B$20,"Yes","No"))</x:f>
        <x:v>#NAME?</x:v>
      </x:c>
      <x:c r="BF31" s="2" t="str">
        <x:f t="shared" si="3"/>
        <x:v>Yes</x:v>
      </x:c>
      <x:c r="BG31" s="2" t="str">
        <x:f t="shared" si="4"/>
        <x:v>Yes</x:v>
      </x:c>
      <x:c r="BH31" s="24"/>
      <x:c r="BI31" s="24"/>
    </x:row>
    <x:row r="32">
      <x:c r="A32" s="2" t="s">
        <x:v>59</x:v>
      </x:c>
      <x:c r="B32" s="3">
        <x:v>58</x:v>
      </x:c>
      <x:c r="C32" s="2" t="s">
        <x:v>185</x:v>
      </x:c>
      <x:c r="D32" s="2" t="s">
        <x:v>186</x:v>
      </x:c>
      <x:c r="E32" s="2" t="s">
        <x:v>71</x:v>
      </x:c>
      <x:c r="F32" s="2" t="s">
        <x:v>72</x:v>
      </x:c>
      <x:c r="G32" s="3">
        <x:v>28</x:v>
      </x:c>
      <x:c r="H32" s="3">
        <x:v>1</x:v>
      </x:c>
      <x:c r="I32" s="3">
        <x:v>130</x:v>
      </x:c>
      <x:c r="J32" s="4">
        <x:v>9.7879282218597069E-2</x:v>
      </x:c>
      <x:c r="K32" s="3">
        <x:v>0</x:v>
      </x:c>
      <x:c r="L32" s="2" t="s">
        <x:v>180</x:v>
      </x:c>
      <x:c r="M32" s="3">
        <x:v>403</x:v>
      </x:c>
      <x:c r="N32" s="3">
        <x:v>27</x:v>
      </x:c>
      <x:c r="O32" s="5">
        <x:v>63.127432345194919</x:v>
      </x:c>
      <x:c r="P32" s="5">
        <x:v>35.598407607002869</x:v>
      </x:c>
      <x:c r="Q32" s="5"/>
      <x:c r="R32" s="5">
        <x:v>71.652493449078321</x:v>
      </x:c>
      <x:c r="S32" s="5">
        <x:f t="shared" si="0"/>
        <x:v>22.760018647634681</x:v>
      </x:c>
      <x:c r="T32" s="5">
        <x:f t="shared" si="1"/>
        <x:v>22.760018647634681</x:v>
      </x:c>
      <x:c r="U32" s="5" t="e">
        <x:f>T32/[1]Model_Parameters!$B$22</x:f>
        <x:v>#NAME?</x:v>
      </x:c>
      <x:c r="V32" s="5">
        <x:v>288.68917286572838</x:v>
      </x:c>
      <x:c r="W32" s="5">
        <x:v>288.68917286572838</x:v>
      </x:c>
      <x:c r="X32" s="5">
        <x:v>90.959691734385345</x:v>
      </x:c>
      <x:c r="Y32" s="3">
        <x:v>6</x:v>
      </x:c>
      <x:c r="Z32" s="3">
        <x:v>0</x:v>
      </x:c>
      <x:c r="AA32" s="3"/>
      <x:c r="AB32" s="2"/>
      <x:c r="AC32" s="3"/>
      <x:c r="AD32" s="3"/>
      <x:c r="AE32" s="2" t="s">
        <x:v>65</x:v>
      </x:c>
      <x:c r="AF32" s="3">
        <x:v>9</x:v>
      </x:c>
      <x:c r="AG32" s="3">
        <x:v>0</x:v>
      </x:c>
      <x:c r="AH32" s="2" t="s">
        <x:v>180</x:v>
      </x:c>
      <x:c r="AI32" s="3">
        <x:v>27</x:v>
      </x:c>
      <x:c r="AJ32" s="3">
        <x:v>0</x:v>
      </x:c>
      <x:c r="AK32" s="2" t="s">
        <x:v>66</x:v>
      </x:c>
      <x:c r="AL32" s="3">
        <x:v>0</x:v>
      </x:c>
      <x:c r="AM32" s="2" t="s">
        <x:v>187</x:v>
      </x:c>
      <x:c r="AN32" s="3">
        <x:v>28</x:v>
      </x:c>
      <x:c r="AO32" s="3">
        <x:v>6</x:v>
      </x:c>
      <x:c r="AP32" s="3">
        <x:v>6</x:v>
      </x:c>
      <x:c r="AQ32" s="5">
        <x:v>25.022092988284339</x:v>
      </x:c>
      <x:c r="AR32" s="5">
        <x:v>22.760018647634691</x:v>
      </x:c>
      <x:c r="AS32" s="5">
        <x:f t="shared" si="2"/>
        <x:v>100.00000000000004</x:v>
      </x:c>
      <x:c r="AT32" s="5">
        <x:v>250.22092988284339</x:v>
      </x:c>
      <x:c r="AU32" s="5">
        <x:v>288.68917286572838</x:v>
      </x:c>
      <x:c r="AV32" s="5">
        <x:v>71.652493449078321</x:v>
      </x:c>
      <x:c r="AW32" s="2" t="b">
        <x:v>0</x:v>
      </x:c>
      <x:c r="AX32" s="2"/>
      <x:c r="AY32" s="2" t="s">
        <x:v>75</x:v>
      </x:c>
      <x:c r="AZ32" s="6">
        <x:v>27</x:v>
      </x:c>
      <x:c r="BA32" s="6"/>
      <x:c r="BB32" s="7"/>
      <x:c r="BC32" s="7"/>
      <x:c r="BD32" s="8"/>
      <x:c r="BE32" s="2" t="e">
        <x:f>IF(AE32="Blocked","No",IF(AJ32&lt;=[1]Model_Parameters!$B$20,"Yes","No"))</x:f>
        <x:v>#NAME?</x:v>
      </x:c>
      <x:c r="BF32" s="2" t="str">
        <x:f t="shared" si="3"/>
        <x:v>Yes</x:v>
      </x:c>
      <x:c r="BG32" s="2" t="str">
        <x:f t="shared" si="4"/>
        <x:v>Yes</x:v>
      </x:c>
      <x:c r="BH32" s="24"/>
      <x:c r="BI32" s="24"/>
    </x:row>
    <x:row r="33">
      <x:c r="A33" s="2" t="s">
        <x:v>59</x:v>
      </x:c>
      <x:c r="B33" s="3">
        <x:v>60</x:v>
      </x:c>
      <x:c r="C33" s="2" t="s">
        <x:v>188</x:v>
      </x:c>
      <x:c r="D33" s="2" t="s">
        <x:v>189</x:v>
      </x:c>
      <x:c r="E33" s="2" t="s">
        <x:v>71</x:v>
      </x:c>
      <x:c r="F33" s="2" t="s">
        <x:v>72</x:v>
      </x:c>
      <x:c r="G33" s="3">
        <x:v>29</x:v>
      </x:c>
      <x:c r="H33" s="3">
        <x:v>1</x:v>
      </x:c>
      <x:c r="I33" s="3">
        <x:v>130</x:v>
      </x:c>
      <x:c r="J33" s="4">
        <x:v>9.7879282218597069E-2</x:v>
      </x:c>
      <x:c r="K33" s="3">
        <x:v>0</x:v>
      </x:c>
      <x:c r="L33" s="2" t="s">
        <x:v>190</x:v>
      </x:c>
      <x:c r="M33" s="3">
        <x:v>408</x:v>
      </x:c>
      <x:c r="N33" s="3">
        <x:v>28</x:v>
      </x:c>
      <x:c r="O33" s="5">
        <x:v>92.153022386838785</x:v>
      </x:c>
      <x:c r="P33" s="5">
        <x:v>45.399443649590488</x:v>
      </x:c>
      <x:c r="Q33" s="5"/>
      <x:c r="R33" s="5">
        <x:v>87.452331348671322</x:v>
      </x:c>
      <x:c r="S33" s="5">
        <x:f t="shared" si="0"/>
        <x:v>38.753007015646133</x:v>
      </x:c>
      <x:c r="T33" s="5">
        <x:f t="shared" si="1"/>
        <x:v>38.753007015646133</x:v>
      </x:c>
      <x:c r="U33" s="5" t="e">
        <x:f>T33/[1]Model_Parameters!$B$22</x:f>
        <x:v>#NAME?</x:v>
      </x:c>
      <x:c r="V33" s="5">
        <x:v>292.15926646018409</x:v>
      </x:c>
      <x:c r="W33" s="5">
        <x:v>292.15926646018409</x:v>
      </x:c>
      <x:c r="X33" s="5">
        <x:v>90.193249496635033</x:v>
      </x:c>
      <x:c r="Y33" s="3">
        <x:v>5</x:v>
      </x:c>
      <x:c r="Z33" s="3">
        <x:v>0</x:v>
      </x:c>
      <x:c r="AA33" s="3"/>
      <x:c r="AB33" s="2"/>
      <x:c r="AC33" s="3"/>
      <x:c r="AD33" s="3"/>
      <x:c r="AE33" s="2" t="s">
        <x:v>65</x:v>
      </x:c>
      <x:c r="AF33" s="3">
        <x:v>2</x:v>
      </x:c>
      <x:c r="AG33" s="3">
        <x:v>0</x:v>
      </x:c>
      <x:c r="AH33" s="2" t="s">
        <x:v>190</x:v>
      </x:c>
      <x:c r="AI33" s="3">
        <x:v>28</x:v>
      </x:c>
      <x:c r="AJ33" s="3">
        <x:v>0</x:v>
      </x:c>
      <x:c r="AK33" s="2" t="s">
        <x:v>66</x:v>
      </x:c>
      <x:c r="AL33" s="3">
        <x:v>0</x:v>
      </x:c>
      <x:c r="AM33" s="2" t="s">
        <x:v>191</x:v>
      </x:c>
      <x:c r="AN33" s="3">
        <x:v>29</x:v>
      </x:c>
      <x:c r="AO33" s="3">
        <x:v>12</x:v>
      </x:c>
      <x:c r="AP33" s="3">
        <x:v>12</x:v>
      </x:c>
      <x:c r="AQ33" s="5">
        <x:v>42.966638004423977</x:v>
      </x:c>
      <x:c r="AR33" s="5">
        <x:v>38.753007015646133</x:v>
      </x:c>
      <x:c r="AS33" s="5">
        <x:f t="shared" si="2"/>
        <x:v>100</x:v>
      </x:c>
      <x:c r="AT33" s="5">
        <x:v>214.83319002211991</x:v>
      </x:c>
      <x:c r="AU33" s="5">
        <x:v>292.15926646018409</x:v>
      </x:c>
      <x:c r="AV33" s="5">
        <x:v>87.452331348671322</x:v>
      </x:c>
      <x:c r="AW33" s="2" t="b">
        <x:v>0</x:v>
      </x:c>
      <x:c r="AX33" s="2"/>
      <x:c r="AY33" s="2" t="s">
        <x:v>75</x:v>
      </x:c>
      <x:c r="AZ33" s="6">
        <x:v>28</x:v>
      </x:c>
      <x:c r="BA33" s="6"/>
      <x:c r="BB33" s="7"/>
      <x:c r="BC33" s="7"/>
      <x:c r="BD33" s="8"/>
      <x:c r="BE33" s="2" t="e">
        <x:f>IF(AE33="Blocked","No",IF(AJ33&lt;=[1]Model_Parameters!$B$20,"Yes","No"))</x:f>
        <x:v>#NAME?</x:v>
      </x:c>
      <x:c r="BF33" s="2" t="str">
        <x:f t="shared" si="3"/>
        <x:v>Yes</x:v>
      </x:c>
      <x:c r="BG33" s="2" t="str">
        <x:f t="shared" si="4"/>
        <x:v>Yes</x:v>
      </x:c>
      <x:c r="BH33" s="24"/>
      <x:c r="BI33" s="24"/>
    </x:row>
    <x:row r="34">
      <x:c r="A34" s="2" t="s">
        <x:v>59</x:v>
      </x:c>
      <x:c r="B34" s="3">
        <x:v>61</x:v>
      </x:c>
      <x:c r="C34" s="2" t="s">
        <x:v>192</x:v>
      </x:c>
      <x:c r="D34" s="2" t="s">
        <x:v>193</x:v>
      </x:c>
      <x:c r="E34" s="2" t="s">
        <x:v>71</x:v>
      </x:c>
      <x:c r="F34" s="2" t="s">
        <x:v>72</x:v>
      </x:c>
      <x:c r="G34" s="3">
        <x:v>30</x:v>
      </x:c>
      <x:c r="H34" s="3">
        <x:v>1</x:v>
      </x:c>
      <x:c r="I34" s="3">
        <x:v>130</x:v>
      </x:c>
      <x:c r="J34" s="4">
        <x:v>9.7879282218597069E-2</x:v>
      </x:c>
      <x:c r="K34" s="3">
        <x:v>0</x:v>
      </x:c>
      <x:c r="L34" s="2" t="s">
        <x:v>194</x:v>
      </x:c>
      <x:c r="M34" s="3">
        <x:v>410</x:v>
      </x:c>
      <x:c r="N34" s="3">
        <x:v>28</x:v>
      </x:c>
      <x:c r="O34" s="5">
        <x:v>137.04033747919161</x:v>
      </x:c>
      <x:c r="P34" s="5">
        <x:v>42.203870366809973</x:v>
      </x:c>
      <x:c r="Q34" s="5"/>
      <x:c r="R34" s="5">
        <x:v>56.051845773006228</x:v>
      </x:c>
      <x:c r="S34" s="5">
        <x:f t="shared" si="0"/>
        <x:v>18.977312230686803</x:v>
      </x:c>
      <x:c r="T34" s="5">
        <x:f t="shared" si="1"/>
        <x:v>18.977312230686803</x:v>
      </x:c>
      <x:c r="U34" s="5" t="e">
        <x:f>T34/[1]Model_Parameters!$B$22</x:f>
        <x:v>#NAME?</x:v>
      </x:c>
      <x:c r="V34" s="5">
        <x:v>107.1958643012041</x:v>
      </x:c>
      <x:c r="W34" s="5">
        <x:v>107.1958643012041</x:v>
      </x:c>
      <x:c r="X34" s="5">
        <x:v>94.627957064167134</x:v>
      </x:c>
      <x:c r="Y34" s="3">
        <x:v>5</x:v>
      </x:c>
      <x:c r="Z34" s="3">
        <x:v>0</x:v>
      </x:c>
      <x:c r="AA34" s="3"/>
      <x:c r="AB34" s="2"/>
      <x:c r="AC34" s="3"/>
      <x:c r="AD34" s="3"/>
      <x:c r="AE34" s="2" t="s">
        <x:v>65</x:v>
      </x:c>
      <x:c r="AF34" s="3">
        <x:v>3</x:v>
      </x:c>
      <x:c r="AG34" s="3">
        <x:v>0</x:v>
      </x:c>
      <x:c r="AH34" s="2" t="s">
        <x:v>194</x:v>
      </x:c>
      <x:c r="AI34" s="3">
        <x:v>28</x:v>
      </x:c>
      <x:c r="AJ34" s="3">
        <x:v>0</x:v>
      </x:c>
      <x:c r="AK34" s="2" t="s">
        <x:v>66</x:v>
      </x:c>
      <x:c r="AL34" s="3">
        <x:v>0</x:v>
      </x:c>
      <x:c r="AM34" s="2" t="s">
        <x:v>195</x:v>
      </x:c>
      <x:c r="AN34" s="3">
        <x:v>29</x:v>
      </x:c>
      <x:c r="AO34" s="3">
        <x:v>12</x:v>
      </x:c>
      <x:c r="AP34" s="3">
        <x:v>12</x:v>
      </x:c>
      <x:c r="AQ34" s="5">
        <x:v>20.05465701623287</x:v>
      </x:c>
      <x:c r="AR34" s="5">
        <x:v>18.977312230686831</x:v>
      </x:c>
      <x:c r="AS34" s="5">
        <x:f t="shared" si="2"/>
        <x:v>100.00000000000016</x:v>
      </x:c>
      <x:c r="AT34" s="5">
        <x:v>100.2732850811643</x:v>
      </x:c>
      <x:c r="AU34" s="5">
        <x:v>107.1958643012041</x:v>
      </x:c>
      <x:c r="AV34" s="5">
        <x:v>56.051845773006228</x:v>
      </x:c>
      <x:c r="AW34" s="2" t="b">
        <x:v>0</x:v>
      </x:c>
      <x:c r="AX34" s="2"/>
      <x:c r="AY34" s="2" t="s">
        <x:v>75</x:v>
      </x:c>
      <x:c r="AZ34" s="6">
        <x:v>28</x:v>
      </x:c>
      <x:c r="BA34" s="6"/>
      <x:c r="BB34" s="7"/>
      <x:c r="BC34" s="7"/>
      <x:c r="BD34" s="8"/>
      <x:c r="BE34" s="2" t="e">
        <x:f>IF(AE34="Blocked","No",IF(AJ34&lt;=[1]Model_Parameters!$B$20,"Yes","No"))</x:f>
        <x:v>#NAME?</x:v>
      </x:c>
      <x:c r="BF34" s="2" t="str">
        <x:f t="shared" si="3"/>
        <x:v>Yes</x:v>
      </x:c>
      <x:c r="BG34" s="2" t="str">
        <x:f t="shared" si="4"/>
        <x:v>Yes</x:v>
      </x:c>
      <x:c r="BH34" s="24"/>
      <x:c r="BI34" s="24"/>
    </x:row>
    <x:row r="35">
      <x:c r="A35" s="2" t="s">
        <x:v>59</x:v>
      </x:c>
      <x:c r="B35" s="3">
        <x:v>66</x:v>
      </x:c>
      <x:c r="C35" s="2" t="s">
        <x:v>196</x:v>
      </x:c>
      <x:c r="D35" s="2" t="s">
        <x:v>197</x:v>
      </x:c>
      <x:c r="E35" s="2" t="s">
        <x:v>71</x:v>
      </x:c>
      <x:c r="F35" s="2" t="s">
        <x:v>72</x:v>
      </x:c>
      <x:c r="G35" s="3">
        <x:v>31</x:v>
      </x:c>
      <x:c r="H35" s="3">
        <x:v>1</x:v>
      </x:c>
      <x:c r="I35" s="3">
        <x:v>130</x:v>
      </x:c>
      <x:c r="J35" s="4">
        <x:v>9.7879282218597069E-2</x:v>
      </x:c>
      <x:c r="K35" s="3">
        <x:v>0</x:v>
      </x:c>
      <x:c r="L35" s="2" t="s">
        <x:v>198</x:v>
      </x:c>
      <x:c r="M35" s="3">
        <x:v>418</x:v>
      </x:c>
      <x:c r="N35" s="3">
        <x:v>28</x:v>
      </x:c>
      <x:c r="O35" s="5">
        <x:v>88.370578940345808</x:v>
      </x:c>
      <x:c r="P35" s="5">
        <x:v>39.289482064332383</x:v>
      </x:c>
      <x:c r="Q35" s="5"/>
      <x:c r="R35" s="5">
        <x:v>60.130373875013653</x:v>
      </x:c>
      <x:c r="S35" s="5">
        <x:f t="shared" si="0"/>
        <x:v>18.417216749430157</x:v>
      </x:c>
      <x:c r="T35" s="5">
        <x:f t="shared" si="1"/>
        <x:v>18.417216749430157</x:v>
      </x:c>
      <x:c r="U35" s="5" t="e">
        <x:f>T35/[1]Model_Parameters!$B$22</x:f>
        <x:v>#NAME?</x:v>
      </x:c>
      <x:c r="V35" s="5">
        <x:v>447.01990290824199</x:v>
      </x:c>
      <x:c r="W35" s="5">
        <x:v>447.01990290824199</x:v>
      </x:c>
      <x:c r="X35" s="5">
        <x:v>90.826402388815751</x:v>
      </x:c>
      <x:c r="Y35" s="3">
        <x:v>8</x:v>
      </x:c>
      <x:c r="Z35" s="3">
        <x:v>0</x:v>
      </x:c>
      <x:c r="AA35" s="3"/>
      <x:c r="AB35" s="2"/>
      <x:c r="AC35" s="3"/>
      <x:c r="AD35" s="3"/>
      <x:c r="AE35" s="2" t="s">
        <x:v>65</x:v>
      </x:c>
      <x:c r="AF35" s="3">
        <x:v>10</x:v>
      </x:c>
      <x:c r="AG35" s="3">
        <x:v>0</x:v>
      </x:c>
      <x:c r="AH35" s="2" t="s">
        <x:v>198</x:v>
      </x:c>
      <x:c r="AI35" s="3">
        <x:v>28</x:v>
      </x:c>
      <x:c r="AJ35" s="3">
        <x:v>0</x:v>
      </x:c>
      <x:c r="AK35" s="2" t="s">
        <x:v>66</x:v>
      </x:c>
      <x:c r="AL35" s="3">
        <x:v>0</x:v>
      </x:c>
      <x:c r="AM35" s="2" t="s">
        <x:v>199</x:v>
      </x:c>
      <x:c r="AN35" s="3">
        <x:v>29</x:v>
      </x:c>
      <x:c r="AO35" s="3">
        <x:v>3</x:v>
      </x:c>
      <x:c r="AP35" s="3">
        <x:v>3</x:v>
      </x:c>
      <x:c r="AQ35" s="5">
        <x:v>20.277382198392601</x:v>
      </x:c>
      <x:c r="AR35" s="5">
        <x:v>18.41721674943016</x:v>
      </x:c>
      <x:c r="AS35" s="5">
        <x:f t="shared" si="2"/>
        <x:v>100.00000000000003</x:v>
      </x:c>
      <x:c r="AT35" s="5">
        <x:v>405.54764396785203</x:v>
      </x:c>
      <x:c r="AU35" s="5">
        <x:v>447.01990290824199</x:v>
      </x:c>
      <x:c r="AV35" s="5">
        <x:v>60.130373875013653</x:v>
      </x:c>
      <x:c r="AW35" s="2" t="b">
        <x:v>0</x:v>
      </x:c>
      <x:c r="AX35" s="2"/>
      <x:c r="AY35" s="2" t="s">
        <x:v>75</x:v>
      </x:c>
      <x:c r="AZ35" s="6">
        <x:v>28</x:v>
      </x:c>
      <x:c r="BA35" s="6"/>
      <x:c r="BB35" s="7"/>
      <x:c r="BC35" s="7"/>
      <x:c r="BD35" s="8"/>
      <x:c r="BE35" s="2" t="e">
        <x:f>IF(AE35="Blocked","No",IF(AJ35&lt;=[1]Model_Parameters!$B$20,"Yes","No"))</x:f>
        <x:v>#NAME?</x:v>
      </x:c>
      <x:c r="BF35" s="2" t="str">
        <x:f t="shared" si="3"/>
        <x:v>Yes</x:v>
      </x:c>
      <x:c r="BG35" s="2" t="str">
        <x:f t="shared" si="4"/>
        <x:v>Yes</x:v>
      </x:c>
      <x:c r="BH35" s="24"/>
      <x:c r="BI35" s="24"/>
    </x:row>
    <x:row r="36">
      <x:c r="A36" s="2" t="s">
        <x:v>59</x:v>
      </x:c>
      <x:c r="B36" s="3">
        <x:v>68</x:v>
      </x:c>
      <x:c r="C36" s="2" t="s">
        <x:v>200</x:v>
      </x:c>
      <x:c r="D36" s="2" t="s">
        <x:v>201</x:v>
      </x:c>
      <x:c r="E36" s="2" t="s">
        <x:v>71</x:v>
      </x:c>
      <x:c r="F36" s="2" t="s">
        <x:v>72</x:v>
      </x:c>
      <x:c r="G36" s="3">
        <x:v>32</x:v>
      </x:c>
      <x:c r="H36" s="3">
        <x:v>1</x:v>
      </x:c>
      <x:c r="I36" s="3">
        <x:v>130</x:v>
      </x:c>
      <x:c r="J36" s="4">
        <x:v>7.612833061446439E-2</x:v>
      </x:c>
      <x:c r="K36" s="3">
        <x:v>0</x:v>
      </x:c>
      <x:c r="L36" s="2" t="s">
        <x:v>202</x:v>
      </x:c>
      <x:c r="M36" s="3">
        <x:v>423</x:v>
      </x:c>
      <x:c r="N36" s="3">
        <x:v>29</x:v>
      </x:c>
      <x:c r="O36" s="5">
        <x:v>75.821337186899925</x:v>
      </x:c>
      <x:c r="P36" s="5">
        <x:v>22.261050764294001</x:v>
      </x:c>
      <x:c r="Q36" s="5"/>
      <x:c r="R36" s="5">
        <x:v>97.652995084538745</x:v>
      </x:c>
      <x:c r="S36" s="5">
        <x:f t="shared" si="0"/>
        <x:v>57.163180314812614</x:v>
      </x:c>
      <x:c r="T36" s="5">
        <x:f t="shared" si="1"/>
        <x:v>57.163180314812614</x:v>
      </x:c>
      <x:c r="U36" s="5" t="e">
        <x:f>T36/[1]Model_Parameters!$B$22</x:f>
        <x:v>#NAME?</x:v>
      </x:c>
      <x:c r="V36" s="5">
        <x:v>242.0936752738327</x:v>
      </x:c>
      <x:c r="W36" s="5">
        <x:v>242.0936752738327</x:v>
      </x:c>
      <x:c r="X36" s="5">
        <x:v>91.168408426772373</x:v>
      </x:c>
      <x:c r="Y36" s="3">
        <x:v>6</x:v>
      </x:c>
      <x:c r="Z36" s="3">
        <x:v>0</x:v>
      </x:c>
      <x:c r="AA36" s="3"/>
      <x:c r="AB36" s="2"/>
      <x:c r="AC36" s="3"/>
      <x:c r="AD36" s="3"/>
      <x:c r="AE36" s="2" t="s">
        <x:v>65</x:v>
      </x:c>
      <x:c r="AF36" s="3">
        <x:v>2</x:v>
      </x:c>
      <x:c r="AG36" s="3">
        <x:v>0</x:v>
      </x:c>
      <x:c r="AH36" s="2" t="s">
        <x:v>202</x:v>
      </x:c>
      <x:c r="AI36" s="3">
        <x:v>29</x:v>
      </x:c>
      <x:c r="AJ36" s="3">
        <x:v>0</x:v>
      </x:c>
      <x:c r="AK36" s="2" t="s">
        <x:v>66</x:v>
      </x:c>
      <x:c r="AL36" s="3">
        <x:v>0</x:v>
      </x:c>
      <x:c r="AM36" s="2" t="s">
        <x:v>203</x:v>
      </x:c>
      <x:c r="AN36" s="3">
        <x:v>30</x:v>
      </x:c>
      <x:c r="AO36" s="3">
        <x:v>26</x:v>
      </x:c>
      <x:c r="AP36" s="3">
        <x:v>26</x:v>
      </x:c>
      <x:c r="AQ36" s="5">
        <x:v>62.700645213881131</x:v>
      </x:c>
      <x:c r="AR36" s="5">
        <x:v>57.163180314812649</x:v>
      </x:c>
      <x:c r="AS36" s="5">
        <x:f t="shared" si="2"/>
        <x:v>100.00000000000007</x:v>
      </x:c>
      <x:c r="AT36" s="5">
        <x:v>144.693796647418</x:v>
      </x:c>
      <x:c r="AU36" s="5">
        <x:v>242.0936752738327</x:v>
      </x:c>
      <x:c r="AV36" s="5">
        <x:v>97.652995084538745</x:v>
      </x:c>
      <x:c r="AW36" s="2" t="b">
        <x:v>0</x:v>
      </x:c>
      <x:c r="AX36" s="2"/>
      <x:c r="AY36" s="2" t="s">
        <x:v>75</x:v>
      </x:c>
      <x:c r="AZ36" s="6">
        <x:v>29</x:v>
      </x:c>
      <x:c r="BA36" s="6"/>
      <x:c r="BB36" s="7"/>
      <x:c r="BC36" s="7"/>
      <x:c r="BD36" s="8"/>
      <x:c r="BE36" s="2" t="e">
        <x:f>IF(AE36="Blocked","No",IF(AJ36&lt;=[1]Model_Parameters!$B$20,"Yes","No"))</x:f>
        <x:v>#NAME?</x:v>
      </x:c>
      <x:c r="BF36" s="2" t="str">
        <x:f t="shared" si="3"/>
        <x:v>Yes</x:v>
      </x:c>
      <x:c r="BG36" s="2" t="str">
        <x:f t="shared" si="4"/>
        <x:v>Yes</x:v>
      </x:c>
      <x:c r="BH36" s="24"/>
      <x:c r="BI36" s="24"/>
    </x:row>
    <x:row r="37">
      <x:c r="A37" s="2" t="s">
        <x:v>59</x:v>
      </x:c>
      <x:c r="B37" s="3">
        <x:v>69</x:v>
      </x:c>
      <x:c r="C37" s="2" t="s">
        <x:v>204</x:v>
      </x:c>
      <x:c r="D37" s="2" t="s">
        <x:v>205</x:v>
      </x:c>
      <x:c r="E37" s="2" t="s">
        <x:v>71</x:v>
      </x:c>
      <x:c r="F37" s="2" t="s">
        <x:v>72</x:v>
      </x:c>
      <x:c r="G37" s="3">
        <x:v>33</x:v>
      </x:c>
      <x:c r="H37" s="3">
        <x:v>1</x:v>
      </x:c>
      <x:c r="I37" s="3">
        <x:v>130</x:v>
      </x:c>
      <x:c r="J37" s="4">
        <x:v>7.612833061446439E-2</x:v>
      </x:c>
      <x:c r="K37" s="3">
        <x:v>0</x:v>
      </x:c>
      <x:c r="L37" s="2" t="s">
        <x:v>206</x:v>
      </x:c>
      <x:c r="M37" s="3">
        <x:v>427</x:v>
      </x:c>
      <x:c r="N37" s="3">
        <x:v>29</x:v>
      </x:c>
      <x:c r="O37" s="5">
        <x:v>101.7824613331511</x:v>
      </x:c>
      <x:c r="P37" s="5">
        <x:v>28.873307652102191</x:v>
      </x:c>
      <x:c r="Q37" s="5"/>
      <x:c r="R37" s="5">
        <x:v>75.885565401673063</x:v>
      </x:c>
      <x:c r="S37" s="5">
        <x:f t="shared" si="0"/>
        <x:v>47.850233065798299</x:v>
      </x:c>
      <x:c r="T37" s="5">
        <x:f t="shared" si="1"/>
        <x:v>47.850233065798299</x:v>
      </x:c>
      <x:c r="U37" s="5" t="e">
        <x:f>T37/[1]Model_Parameters!$B$22</x:f>
        <x:v>#NAME?</x:v>
      </x:c>
      <x:c r="V37" s="5">
        <x:v>347.71496100619919</x:v>
      </x:c>
      <x:c r="W37" s="5">
        <x:v>347.71496100619919</x:v>
      </x:c>
      <x:c r="X37" s="5">
        <x:v>90.538423020875754</x:v>
      </x:c>
      <x:c r="Y37" s="3">
        <x:v>7</x:v>
      </x:c>
      <x:c r="Z37" s="3">
        <x:v>0</x:v>
      </x:c>
      <x:c r="AA37" s="3"/>
      <x:c r="AB37" s="2"/>
      <x:c r="AC37" s="3"/>
      <x:c r="AD37" s="3"/>
      <x:c r="AE37" s="2" t="s">
        <x:v>65</x:v>
      </x:c>
      <x:c r="AF37" s="3">
        <x:v>3</x:v>
      </x:c>
      <x:c r="AG37" s="3">
        <x:v>0</x:v>
      </x:c>
      <x:c r="AH37" s="2" t="s">
        <x:v>206</x:v>
      </x:c>
      <x:c r="AI37" s="3">
        <x:v>29</x:v>
      </x:c>
      <x:c r="AJ37" s="3">
        <x:v>0</x:v>
      </x:c>
      <x:c r="AK37" s="2" t="s">
        <x:v>66</x:v>
      </x:c>
      <x:c r="AL37" s="3">
        <x:v>0</x:v>
      </x:c>
      <x:c r="AM37" s="2" t="s">
        <x:v>207</x:v>
      </x:c>
      <x:c r="AN37" s="3">
        <x:v>30</x:v>
      </x:c>
      <x:c r="AO37" s="3">
        <x:v>10</x:v>
      </x:c>
      <x:c r="AP37" s="3">
        <x:v>10</x:v>
      </x:c>
      <x:c r="AQ37" s="5">
        <x:v>52.850747195768292</x:v>
      </x:c>
      <x:c r="AR37" s="5">
        <x:v>47.850233065798321</x:v>
      </x:c>
      <x:c r="AS37" s="5">
        <x:f t="shared" si="2"/>
        <x:v>100.00000000000004</x:v>
      </x:c>
      <x:c r="AT37" s="5">
        <x:v>317.10448317460981</x:v>
      </x:c>
      <x:c r="AU37" s="5">
        <x:v>347.71496100619919</x:v>
      </x:c>
      <x:c r="AV37" s="5">
        <x:v>75.885565401673063</x:v>
      </x:c>
      <x:c r="AW37" s="2" t="b">
        <x:v>0</x:v>
      </x:c>
      <x:c r="AX37" s="2"/>
      <x:c r="AY37" s="2" t="s">
        <x:v>75</x:v>
      </x:c>
      <x:c r="AZ37" s="6">
        <x:v>29</x:v>
      </x:c>
      <x:c r="BA37" s="6"/>
      <x:c r="BB37" s="7"/>
      <x:c r="BC37" s="7"/>
      <x:c r="BD37" s="8"/>
      <x:c r="BE37" s="2" t="e">
        <x:f>IF(AE37="Blocked","No",IF(AJ37&lt;=[1]Model_Parameters!$B$20,"Yes","No"))</x:f>
        <x:v>#NAME?</x:v>
      </x:c>
      <x:c r="BF37" s="2" t="str">
        <x:f t="shared" si="3"/>
        <x:v>Yes</x:v>
      </x:c>
      <x:c r="BG37" s="2" t="str">
        <x:f t="shared" si="4"/>
        <x:v>Yes</x:v>
      </x:c>
      <x:c r="BH37" s="24"/>
      <x:c r="BI37" s="24"/>
    </x:row>
    <x:row r="38">
      <x:c r="A38" s="2" t="s">
        <x:v>59</x:v>
      </x:c>
      <x:c r="B38" s="3">
        <x:v>74</x:v>
      </x:c>
      <x:c r="C38" s="2" t="s">
        <x:v>208</x:v>
      </x:c>
      <x:c r="D38" s="2" t="s">
        <x:v>209</x:v>
      </x:c>
      <x:c r="E38" s="2" t="s">
        <x:v>71</x:v>
      </x:c>
      <x:c r="F38" s="2" t="s">
        <x:v>72</x:v>
      </x:c>
      <x:c r="G38" s="3">
        <x:v>34</x:v>
      </x:c>
      <x:c r="H38" s="3">
        <x:v>1</x:v>
      </x:c>
      <x:c r="I38" s="3">
        <x:v>130</x:v>
      </x:c>
      <x:c r="J38" s="4">
        <x:v>7.612833061446439E-2</x:v>
      </x:c>
      <x:c r="K38" s="3">
        <x:v>0</x:v>
      </x:c>
      <x:c r="L38" s="2" t="s">
        <x:v>210</x:v>
      </x:c>
      <x:c r="M38" s="3">
        <x:v>438</x:v>
      </x:c>
      <x:c r="N38" s="3">
        <x:v>30</x:v>
      </x:c>
      <x:c r="O38" s="5">
        <x:v>112.15547535130401</x:v>
      </x:c>
      <x:c r="P38" s="5">
        <x:v>63.646791255969418</x:v>
      </x:c>
      <x:c r="Q38" s="5"/>
      <x:c r="R38" s="5">
        <x:v>74.642998510475039</x:v>
      </x:c>
      <x:c r="S38" s="5">
        <x:f t="shared" si="0"/>
        <x:v>12.332848516905353</x:v>
      </x:c>
      <x:c r="T38" s="5">
        <x:f t="shared" si="1"/>
        <x:v>12.332848516905353</x:v>
      </x:c>
      <x:c r="U38" s="5" t="e">
        <x:f>T38/[1]Model_Parameters!$B$22</x:f>
        <x:v>#NAME?</x:v>
      </x:c>
      <x:c r="V38" s="5">
        <x:v>345.58202759266459</x:v>
      </x:c>
      <x:c r="W38" s="5">
        <x:v>345.58202759266459</x:v>
      </x:c>
      <x:c r="X38" s="5">
        <x:v>92.670795061756891</x:v>
      </x:c>
      <x:c r="Y38" s="3">
        <x:v>5</x:v>
      </x:c>
      <x:c r="Z38" s="3">
        <x:v>0</x:v>
      </x:c>
      <x:c r="AA38" s="3"/>
      <x:c r="AB38" s="2"/>
      <x:c r="AC38" s="3"/>
      <x:c r="AD38" s="3"/>
      <x:c r="AE38" s="2" t="s">
        <x:v>65</x:v>
      </x:c>
      <x:c r="AF38" s="3">
        <x:v>9</x:v>
      </x:c>
      <x:c r="AG38" s="3">
        <x:v>0</x:v>
      </x:c>
      <x:c r="AH38" s="2" t="s">
        <x:v>210</x:v>
      </x:c>
      <x:c r="AI38" s="3">
        <x:v>30</x:v>
      </x:c>
      <x:c r="AJ38" s="3">
        <x:v>0</x:v>
      </x:c>
      <x:c r="AK38" s="2" t="s">
        <x:v>66</x:v>
      </x:c>
      <x:c r="AL38" s="3">
        <x:v>0</x:v>
      </x:c>
      <x:c r="AM38" s="2" t="s">
        <x:v>211</x:v>
      </x:c>
      <x:c r="AN38" s="3">
        <x:v>30</x:v>
      </x:c>
      <x:c r="AO38" s="3">
        <x:v>3</x:v>
      </x:c>
      <x:c r="AP38" s="3">
        <x:v>3</x:v>
      </x:c>
      <x:c r="AQ38" s="5">
        <x:v>13.308236439200311</x:v>
      </x:c>
      <x:c r="AR38" s="5">
        <x:v>12.33284851690537</x:v>
      </x:c>
      <x:c r="AS38" s="5">
        <x:f t="shared" si="2"/>
        <x:v>100.00000000000013</x:v>
      </x:c>
      <x:c r="AT38" s="5">
        <x:v>266.16472878400612</x:v>
      </x:c>
      <x:c r="AU38" s="5">
        <x:v>345.58202759266459</x:v>
      </x:c>
      <x:c r="AV38" s="5">
        <x:v>74.642998510475039</x:v>
      </x:c>
      <x:c r="AW38" s="2" t="b">
        <x:v>0</x:v>
      </x:c>
      <x:c r="AX38" s="2"/>
      <x:c r="AY38" s="2" t="s">
        <x:v>75</x:v>
      </x:c>
      <x:c r="AZ38" s="6">
        <x:v>30</x:v>
      </x:c>
      <x:c r="BA38" s="6"/>
      <x:c r="BB38" s="7"/>
      <x:c r="BC38" s="7"/>
      <x:c r="BD38" s="8"/>
      <x:c r="BE38" s="2" t="e">
        <x:f>IF(AE38="Blocked","No",IF(AJ38&lt;=[1]Model_Parameters!$B$20,"Yes","No"))</x:f>
        <x:v>#NAME?</x:v>
      </x:c>
      <x:c r="BF38" s="2" t="str">
        <x:f t="shared" si="3"/>
        <x:v>Yes</x:v>
      </x:c>
      <x:c r="BG38" s="2" t="str">
        <x:f t="shared" si="4"/>
        <x:v>Yes</x:v>
      </x:c>
      <x:c r="BH38" s="24"/>
      <x:c r="BI38" s="24"/>
    </x:row>
    <x:row r="39">
      <x:c r="A39" s="2" t="s">
        <x:v>59</x:v>
      </x:c>
      <x:c r="B39" s="3">
        <x:v>77</x:v>
      </x:c>
      <x:c r="C39" s="2" t="s">
        <x:v>212</x:v>
      </x:c>
      <x:c r="D39" s="2" t="s">
        <x:v>213</x:v>
      </x:c>
      <x:c r="E39" s="2" t="s">
        <x:v>71</x:v>
      </x:c>
      <x:c r="F39" s="2" t="s">
        <x:v>72</x:v>
      </x:c>
      <x:c r="G39" s="3">
        <x:v>35</x:v>
      </x:c>
      <x:c r="H39" s="3">
        <x:v>1</x:v>
      </x:c>
      <x:c r="I39" s="3">
        <x:v>130</x:v>
      </x:c>
      <x:c r="J39" s="4">
        <x:v>7.612833061446439E-2</x:v>
      </x:c>
      <x:c r="K39" s="3">
        <x:v>0</x:v>
      </x:c>
      <x:c r="L39" s="2" t="s">
        <x:v>214</x:v>
      </x:c>
      <x:c r="M39" s="3">
        <x:v>460</x:v>
      </x:c>
      <x:c r="N39" s="3">
        <x:v>31</x:v>
      </x:c>
      <x:c r="O39" s="5">
        <x:v>131.93797582461889</x:v>
      </x:c>
      <x:c r="P39" s="5">
        <x:v>27.576522015660249</x:v>
      </x:c>
      <x:c r="Q39" s="5"/>
      <x:c r="R39" s="5">
        <x:v>61.076667953675667</x:v>
      </x:c>
      <x:c r="S39" s="5">
        <x:f t="shared" si="0"/>
        <x:v>44.199414448910829</x:v>
      </x:c>
      <x:c r="T39" s="5">
        <x:f t="shared" si="1"/>
        <x:v>44.199414448910829</x:v>
      </x:c>
      <x:c r="U39" s="5" t="e">
        <x:f>T39/[1]Model_Parameters!$B$22</x:f>
        <x:v>#NAME?</x:v>
      </x:c>
      <x:c r="V39" s="5">
        <x:v>190.1696338956458</x:v>
      </x:c>
      <x:c r="W39" s="5">
        <x:v>190.1696338956458</x:v>
      </x:c>
      <x:c r="X39" s="5">
        <x:v>92.046955099681142</x:v>
      </x:c>
      <x:c r="Y39" s="3">
        <x:v>3</x:v>
      </x:c>
      <x:c r="Z39" s="3">
        <x:v>0</x:v>
      </x:c>
      <x:c r="AA39" s="3"/>
      <x:c r="AB39" s="2"/>
      <x:c r="AC39" s="3"/>
      <x:c r="AD39" s="3"/>
      <x:c r="AE39" s="2" t="s">
        <x:v>65</x:v>
      </x:c>
      <x:c r="AF39" s="3">
        <x:v>2</x:v>
      </x:c>
      <x:c r="AG39" s="3">
        <x:v>0</x:v>
      </x:c>
      <x:c r="AH39" s="2" t="s">
        <x:v>214</x:v>
      </x:c>
      <x:c r="AI39" s="3">
        <x:v>31</x:v>
      </x:c>
      <x:c r="AJ39" s="3">
        <x:v>0</x:v>
      </x:c>
      <x:c r="AK39" s="2" t="s">
        <x:v>66</x:v>
      </x:c>
      <x:c r="AL39" s="3">
        <x:v>0</x:v>
      </x:c>
      <x:c r="AM39" s="2" t="s">
        <x:v>215</x:v>
      </x:c>
      <x:c r="AN39" s="3">
        <x:v>32</x:v>
      </x:c>
      <x:c r="AO39" s="3">
        <x:v>16</x:v>
      </x:c>
      <x:c r="AP39" s="3">
        <x:v>16</x:v>
      </x:c>
      <x:c r="AQ39" s="5">
        <x:v>48.018334122020207</x:v>
      </x:c>
      <x:c r="AR39" s="5">
        <x:v>44.199414448910829</x:v>
      </x:c>
      <x:c r="AS39" s="5">
        <x:f t="shared" si="2"/>
        <x:v>100</x:v>
      </x:c>
      <x:c r="AT39" s="5">
        <x:v>180.06875295757581</x:v>
      </x:c>
      <x:c r="AU39" s="5">
        <x:v>190.1696338956458</x:v>
      </x:c>
      <x:c r="AV39" s="5">
        <x:v>61.076667953675667</x:v>
      </x:c>
      <x:c r="AW39" s="2" t="b">
        <x:v>0</x:v>
      </x:c>
      <x:c r="AX39" s="2"/>
      <x:c r="AY39" s="2" t="s">
        <x:v>75</x:v>
      </x:c>
      <x:c r="AZ39" s="6">
        <x:v>31</x:v>
      </x:c>
      <x:c r="BA39" s="6"/>
      <x:c r="BB39" s="7"/>
      <x:c r="BC39" s="7"/>
      <x:c r="BD39" s="8"/>
      <x:c r="BE39" s="2" t="e">
        <x:f>IF(AE39="Blocked","No",IF(AJ39&lt;=[1]Model_Parameters!$B$20,"Yes","No"))</x:f>
        <x:v>#NAME?</x:v>
      </x:c>
      <x:c r="BF39" s="2" t="str">
        <x:f t="shared" si="3"/>
        <x:v>Yes</x:v>
      </x:c>
      <x:c r="BG39" s="2" t="str">
        <x:f t="shared" si="4"/>
        <x:v>Yes</x:v>
      </x:c>
      <x:c r="BH39" s="24"/>
      <x:c r="BI39" s="24"/>
    </x:row>
    <x:row r="40">
      <x:c r="A40" s="2" t="s">
        <x:v>59</x:v>
      </x:c>
      <x:c r="B40" s="3">
        <x:v>78</x:v>
      </x:c>
      <x:c r="C40" s="2" t="s">
        <x:v>216</x:v>
      </x:c>
      <x:c r="D40" s="2" t="s">
        <x:v>217</x:v>
      </x:c>
      <x:c r="E40" s="2" t="s">
        <x:v>71</x:v>
      </x:c>
      <x:c r="F40" s="2" t="s">
        <x:v>72</x:v>
      </x:c>
      <x:c r="G40" s="3">
        <x:v>36</x:v>
      </x:c>
      <x:c r="H40" s="3">
        <x:v>1</x:v>
      </x:c>
      <x:c r="I40" s="3">
        <x:v>130</x:v>
      </x:c>
      <x:c r="J40" s="4">
        <x:v>7.612833061446439E-2</x:v>
      </x:c>
      <x:c r="K40" s="3">
        <x:v>0</x:v>
      </x:c>
      <x:c r="L40" s="2" t="s">
        <x:v>218</x:v>
      </x:c>
      <x:c r="M40" s="3">
        <x:v>461</x:v>
      </x:c>
      <x:c r="N40" s="3">
        <x:v>31</x:v>
      </x:c>
      <x:c r="O40" s="5">
        <x:v>105.0164817917146</x:v>
      </x:c>
      <x:c r="P40" s="5">
        <x:v>50.171297212998702</x:v>
      </x:c>
      <x:c r="Q40" s="5"/>
      <x:c r="R40" s="5">
        <x:v>77.29721896448028</x:v>
      </x:c>
      <x:c r="S40" s="5">
        <x:f t="shared" si="0"/>
        <x:v>28.486688676979401</x:v>
      </x:c>
      <x:c r="T40" s="5">
        <x:f t="shared" si="1"/>
        <x:v>28.486688676979401</x:v>
      </x:c>
      <x:c r="U40" s="5" t="e">
        <x:f>T40/[1]Model_Parameters!$B$22</x:f>
        <x:v>#NAME?</x:v>
      </x:c>
      <x:c r="V40" s="5">
        <x:v>219.68867096709269</x:v>
      </x:c>
      <x:c r="W40" s="5">
        <x:v>219.68867096709269</x:v>
      </x:c>
      <x:c r="X40" s="5">
        <x:v>94.258324369790571</x:v>
      </x:c>
      <x:c r="Y40" s="3">
        <x:v>3</x:v>
      </x:c>
      <x:c r="Z40" s="3">
        <x:v>0</x:v>
      </x:c>
      <x:c r="AA40" s="3"/>
      <x:c r="AB40" s="2"/>
      <x:c r="AC40" s="3"/>
      <x:c r="AD40" s="3"/>
      <x:c r="AE40" s="2" t="s">
        <x:v>65</x:v>
      </x:c>
      <x:c r="AF40" s="3">
        <x:v>3</x:v>
      </x:c>
      <x:c r="AG40" s="3">
        <x:v>0</x:v>
      </x:c>
      <x:c r="AH40" s="2" t="s">
        <x:v>218</x:v>
      </x:c>
      <x:c r="AI40" s="3">
        <x:v>31</x:v>
      </x:c>
      <x:c r="AJ40" s="3">
        <x:v>0</x:v>
      </x:c>
      <x:c r="AK40" s="2" t="s">
        <x:v>66</x:v>
      </x:c>
      <x:c r="AL40" s="3">
        <x:v>0</x:v>
      </x:c>
      <x:c r="AM40" s="2" t="s">
        <x:v>219</x:v>
      </x:c>
      <x:c r="AN40" s="3">
        <x:v>32</x:v>
      </x:c>
      <x:c r="AO40" s="3">
        <x:v>9</x:v>
      </x:c>
      <x:c r="AP40" s="3">
        <x:v>9</x:v>
      </x:c>
      <x:c r="AQ40" s="5">
        <x:v>30.221934102309671</x:v>
      </x:c>
      <x:c r="AR40" s="5">
        <x:v>28.486688676979409</x:v>
      </x:c>
      <x:c r="AS40" s="5">
        <x:f t="shared" si="2"/>
        <x:v>100.00000000000003</x:v>
      </x:c>
      <x:c r="AT40" s="5">
        <x:v>201.47956068206449</x:v>
      </x:c>
      <x:c r="AU40" s="5">
        <x:v>219.68867096709269</x:v>
      </x:c>
      <x:c r="AV40" s="5">
        <x:v>77.29721896448028</x:v>
      </x:c>
      <x:c r="AW40" s="2" t="b">
        <x:v>0</x:v>
      </x:c>
      <x:c r="AX40" s="2"/>
      <x:c r="AY40" s="2" t="s">
        <x:v>75</x:v>
      </x:c>
      <x:c r="AZ40" s="6">
        <x:v>31</x:v>
      </x:c>
      <x:c r="BA40" s="6"/>
      <x:c r="BB40" s="7"/>
      <x:c r="BC40" s="7"/>
      <x:c r="BD40" s="8"/>
      <x:c r="BE40" s="2" t="e">
        <x:f>IF(AE40="Blocked","No",IF(AJ40&lt;=[1]Model_Parameters!$B$20,"Yes","No"))</x:f>
        <x:v>#NAME?</x:v>
      </x:c>
      <x:c r="BF40" s="2" t="str">
        <x:f t="shared" si="3"/>
        <x:v>Yes</x:v>
      </x:c>
      <x:c r="BG40" s="2" t="str">
        <x:f t="shared" si="4"/>
        <x:v>Yes</x:v>
      </x:c>
      <x:c r="BH40" s="24"/>
      <x:c r="BI40" s="24"/>
    </x:row>
    <x:row r="41">
      <x:c r="A41" s="2" t="s">
        <x:v>59</x:v>
      </x:c>
      <x:c r="B41" s="3">
        <x:v>79</x:v>
      </x:c>
      <x:c r="C41" s="2" t="s">
        <x:v>220</x:v>
      </x:c>
      <x:c r="D41" s="2" t="s">
        <x:v>221</x:v>
      </x:c>
      <x:c r="E41" s="2" t="s">
        <x:v>71</x:v>
      </x:c>
      <x:c r="F41" s="2" t="s">
        <x:v>72</x:v>
      </x:c>
      <x:c r="G41" s="3">
        <x:v>37</x:v>
      </x:c>
      <x:c r="H41" s="3">
        <x:v>1</x:v>
      </x:c>
      <x:c r="I41" s="3">
        <x:v>130</x:v>
      </x:c>
      <x:c r="J41" s="4">
        <x:v>7.612833061446439E-2</x:v>
      </x:c>
      <x:c r="K41" s="3">
        <x:v>0</x:v>
      </x:c>
      <x:c r="L41" s="2" t="s">
        <x:v>222</x:v>
      </x:c>
      <x:c r="M41" s="3">
        <x:v>464</x:v>
      </x:c>
      <x:c r="N41" s="3">
        <x:v>31</x:v>
      </x:c>
      <x:c r="O41" s="5">
        <x:v>56.87864202375863</x:v>
      </x:c>
      <x:c r="P41" s="5">
        <x:v>18.257713800668139</x:v>
      </x:c>
      <x:c r="Q41" s="5"/>
      <x:c r="R41" s="5">
        <x:v>78.498935021326034</x:v>
      </x:c>
      <x:c r="S41" s="5">
        <x:f t="shared" si="0"/>
        <x:v>34.26438856883852</x:v>
      </x:c>
      <x:c r="T41" s="5">
        <x:f t="shared" si="1"/>
        <x:v>34.26438856883852</x:v>
      </x:c>
      <x:c r="U41" s="5" t="e">
        <x:f>T41/[1]Model_Parameters!$B$22</x:f>
        <x:v>#NAME?</x:v>
      </x:c>
      <x:c r="V41" s="5">
        <x:v>191.41270865114939</x:v>
      </x:c>
      <x:c r="W41" s="5">
        <x:v>191.41270865114939</x:v>
      </x:c>
      <x:c r="X41" s="5">
        <x:v>93.730066554514181</x:v>
      </x:c>
      <x:c r="Y41" s="3">
        <x:v>4</x:v>
      </x:c>
      <x:c r="Z41" s="3">
        <x:v>0</x:v>
      </x:c>
      <x:c r="AA41" s="3"/>
      <x:c r="AB41" s="2"/>
      <x:c r="AC41" s="3"/>
      <x:c r="AD41" s="3"/>
      <x:c r="AE41" s="2" t="s">
        <x:v>65</x:v>
      </x:c>
      <x:c r="AF41" s="3">
        <x:v>4</x:v>
      </x:c>
      <x:c r="AG41" s="3">
        <x:v>0</x:v>
      </x:c>
      <x:c r="AH41" s="2" t="s">
        <x:v>222</x:v>
      </x:c>
      <x:c r="AI41" s="3">
        <x:v>31</x:v>
      </x:c>
      <x:c r="AJ41" s="3">
        <x:v>0</x:v>
      </x:c>
      <x:c r="AK41" s="2" t="s">
        <x:v>66</x:v>
      </x:c>
      <x:c r="AL41" s="3">
        <x:v>0</x:v>
      </x:c>
      <x:c r="AM41" s="2" t="s">
        <x:v>215</x:v>
      </x:c>
      <x:c r="AN41" s="3">
        <x:v>32</x:v>
      </x:c>
      <x:c r="AO41" s="3">
        <x:v>12</x:v>
      </x:c>
      <x:c r="AP41" s="3">
        <x:v>12</x:v>
      </x:c>
      <x:c r="AQ41" s="5">
        <x:v>36.556453898291068</x:v>
      </x:c>
      <x:c r="AR41" s="5">
        <x:v>34.264388568838513</x:v>
      </x:c>
      <x:c r="AS41" s="5">
        <x:f t="shared" si="2"/>
        <x:v>99.999999999999972</x:v>
      </x:c>
      <x:c r="AT41" s="5">
        <x:v>182.78226949145531</x:v>
      </x:c>
      <x:c r="AU41" s="5">
        <x:v>191.41270865114939</x:v>
      </x:c>
      <x:c r="AV41" s="5">
        <x:v>78.498935021326034</x:v>
      </x:c>
      <x:c r="AW41" s="2" t="b">
        <x:v>0</x:v>
      </x:c>
      <x:c r="AX41" s="2"/>
      <x:c r="AY41" s="2" t="s">
        <x:v>75</x:v>
      </x:c>
      <x:c r="AZ41" s="6">
        <x:v>31</x:v>
      </x:c>
      <x:c r="BA41" s="6"/>
      <x:c r="BB41" s="7"/>
      <x:c r="BC41" s="7"/>
      <x:c r="BD41" s="8"/>
      <x:c r="BE41" s="2" t="e">
        <x:f>IF(AE41="Blocked","No",IF(AJ41&lt;=[1]Model_Parameters!$B$20,"Yes","No"))</x:f>
        <x:v>#NAME?</x:v>
      </x:c>
      <x:c r="BF41" s="2" t="str">
        <x:f t="shared" si="3"/>
        <x:v>Yes</x:v>
      </x:c>
      <x:c r="BG41" s="2" t="str">
        <x:f t="shared" si="4"/>
        <x:v>Yes</x:v>
      </x:c>
      <x:c r="BH41" s="24"/>
      <x:c r="BI41" s="24"/>
    </x:row>
    <x:row r="42">
      <x:c r="A42" s="2" t="s">
        <x:v>59</x:v>
      </x:c>
      <x:c r="B42" s="3">
        <x:v>80</x:v>
      </x:c>
      <x:c r="C42" s="2" t="s">
        <x:v>223</x:v>
      </x:c>
      <x:c r="D42" s="2" t="s">
        <x:v>224</x:v>
      </x:c>
      <x:c r="E42" s="2" t="s">
        <x:v>71</x:v>
      </x:c>
      <x:c r="F42" s="2" t="s">
        <x:v>72</x:v>
      </x:c>
      <x:c r="G42" s="3">
        <x:v>38</x:v>
      </x:c>
      <x:c r="H42" s="3">
        <x:v>1</x:v>
      </x:c>
      <x:c r="I42" s="3">
        <x:v>130</x:v>
      </x:c>
      <x:c r="J42" s="4">
        <x:v>7.612833061446439E-2</x:v>
      </x:c>
      <x:c r="K42" s="3">
        <x:v>0</x:v>
      </x:c>
      <x:c r="L42" s="2" t="s">
        <x:v>225</x:v>
      </x:c>
      <x:c r="M42" s="3">
        <x:v>469</x:v>
      </x:c>
      <x:c r="N42" s="3">
        <x:v>32</x:v>
      </x:c>
      <x:c r="O42" s="5">
        <x:v>90.42866565741312</x:v>
      </x:c>
      <x:c r="P42" s="5">
        <x:v>21.37751571596527</x:v>
      </x:c>
      <x:c r="Q42" s="5"/>
      <x:c r="R42" s="5">
        <x:v>49.789746424708149</x:v>
      </x:c>
      <x:c r="S42" s="5">
        <x:f t="shared" si="0"/>
        <x:v>25.692801113421957</x:v>
      </x:c>
      <x:c r="T42" s="5">
        <x:f t="shared" si="1"/>
        <x:v>25.692801113421957</x:v>
      </x:c>
      <x:c r="U42" s="5" t="e">
        <x:f>T42/[1]Model_Parameters!$B$22</x:f>
        <x:v>#NAME?</x:v>
      </x:c>
      <x:c r="V42" s="5">
        <x:v>370.16963861403252</x:v>
      </x:c>
      <x:c r="W42" s="5">
        <x:v>370.16963861403252</x:v>
      </x:c>
      <x:c r="X42" s="5">
        <x:v>90.935864756105957</x:v>
      </x:c>
      <x:c r="Y42" s="3">
        <x:v>5</x:v>
      </x:c>
      <x:c r="Z42" s="3">
        <x:v>0</x:v>
      </x:c>
      <x:c r="AA42" s="3"/>
      <x:c r="AB42" s="2"/>
      <x:c r="AC42" s="3"/>
      <x:c r="AD42" s="3"/>
      <x:c r="AE42" s="2" t="s">
        <x:v>65</x:v>
      </x:c>
      <x:c r="AF42" s="3">
        <x:v>6</x:v>
      </x:c>
      <x:c r="AG42" s="3">
        <x:v>0</x:v>
      </x:c>
      <x:c r="AH42" s="2" t="s">
        <x:v>225</x:v>
      </x:c>
      <x:c r="AI42" s="3">
        <x:v>32</x:v>
      </x:c>
      <x:c r="AJ42" s="3">
        <x:v>0</x:v>
      </x:c>
      <x:c r="AK42" s="2" t="s">
        <x:v>66</x:v>
      </x:c>
      <x:c r="AL42" s="3">
        <x:v>0</x:v>
      </x:c>
      <x:c r="AM42" s="2" t="s">
        <x:v>226</x:v>
      </x:c>
      <x:c r="AN42" s="3">
        <x:v>32</x:v>
      </x:c>
      <x:c r="AO42" s="3">
        <x:v>5</x:v>
      </x:c>
      <x:c r="AP42" s="3">
        <x:v>5</x:v>
      </x:c>
      <x:c r="AQ42" s="5">
        <x:v>28.25376014439539</x:v>
      </x:c>
      <x:c r="AR42" s="5">
        <x:v>25.692801113421961</x:v>
      </x:c>
      <x:c r="AS42" s="5">
        <x:f t="shared" si="2"/>
        <x:v>100.00000000000003</x:v>
      </x:c>
      <x:c r="AT42" s="5">
        <x:v>339.04512173274469</x:v>
      </x:c>
      <x:c r="AU42" s="5">
        <x:v>370.16963861403252</x:v>
      </x:c>
      <x:c r="AV42" s="5">
        <x:v>49.789746424708149</x:v>
      </x:c>
      <x:c r="AW42" s="2" t="b">
        <x:v>0</x:v>
      </x:c>
      <x:c r="AX42" s="2"/>
      <x:c r="AY42" s="2" t="s">
        <x:v>75</x:v>
      </x:c>
      <x:c r="AZ42" s="6">
        <x:v>32</x:v>
      </x:c>
      <x:c r="BA42" s="6"/>
      <x:c r="BB42" s="7"/>
      <x:c r="BC42" s="7"/>
      <x:c r="BD42" s="8"/>
      <x:c r="BE42" s="2" t="e">
        <x:f>IF(AE42="Blocked","No",IF(AJ42&lt;=[1]Model_Parameters!$B$20,"Yes","No"))</x:f>
        <x:v>#NAME?</x:v>
      </x:c>
      <x:c r="BF42" s="2" t="str">
        <x:f t="shared" si="3"/>
        <x:v>Yes</x:v>
      </x:c>
      <x:c r="BG42" s="2" t="str">
        <x:f t="shared" si="4"/>
        <x:v>Yes</x:v>
      </x:c>
      <x:c r="BH42" s="24"/>
      <x:c r="BI42" s="24"/>
    </x:row>
    <x:row r="43">
      <x:c r="A43" s="2" t="s">
        <x:v>59</x:v>
      </x:c>
      <x:c r="B43" s="3">
        <x:v>86</x:v>
      </x:c>
      <x:c r="C43" s="2" t="s">
        <x:v>227</x:v>
      </x:c>
      <x:c r="D43" s="2" t="s">
        <x:v>228</x:v>
      </x:c>
      <x:c r="E43" s="2" t="s">
        <x:v>62</x:v>
      </x:c>
      <x:c r="F43" s="2" t="s">
        <x:v>63</x:v>
      </x:c>
      <x:c r="G43" s="3">
        <x:v>4</x:v>
      </x:c>
      <x:c r="H43" s="3">
        <x:v>1</x:v>
      </x:c>
      <x:c r="I43" s="3">
        <x:v>20</x:v>
      </x:c>
      <x:c r="J43" s="4">
        <x:v>1.234567901234568E-2</x:v>
      </x:c>
      <x:c r="K43" s="3">
        <x:v>0</x:v>
      </x:c>
      <x:c r="L43" s="2" t="s">
        <x:v>229</x:v>
      </x:c>
      <x:c r="M43" s="3">
        <x:v>497</x:v>
      </x:c>
      <x:c r="N43" s="3">
        <x:v>34</x:v>
      </x:c>
      <x:c r="O43" s="5">
        <x:v>190.89249538606381</x:v>
      </x:c>
      <x:c r="P43" s="5">
        <x:v>6.2475637873175138</x:v>
      </x:c>
      <x:c r="Q43" s="5"/>
      <x:c r="R43" s="5">
        <x:v>92.9324324503838</x:v>
      </x:c>
      <x:c r="S43" s="5">
        <x:f t="shared" si="0"/>
        <x:v>165.47490891305929</x:v>
      </x:c>
      <x:c r="T43" s="5">
        <x:f t="shared" si="1"/>
        <x:v>165.47490891305929</x:v>
      </x:c>
      <x:c r="U43" s="5" t="e">
        <x:f>T43/[1]Model_Parameters!$B$22</x:f>
        <x:v>#NAME?</x:v>
      </x:c>
      <x:c r="V43" s="5">
        <x:v>261.63794059772101</x:v>
      </x:c>
      <x:c r="W43" s="5">
        <x:v>261.63794059772101</x:v>
      </x:c>
      <x:c r="X43" s="5">
        <x:v>92.561277425896563</x:v>
      </x:c>
      <x:c r="Y43" s="3">
        <x:v>2</x:v>
      </x:c>
      <x:c r="Z43" s="3">
        <x:v>0</x:v>
      </x:c>
      <x:c r="AA43" s="3"/>
      <x:c r="AB43" s="2"/>
      <x:c r="AC43" s="3"/>
      <x:c r="AD43" s="3"/>
      <x:c r="AE43" s="2" t="s">
        <x:v>65</x:v>
      </x:c>
      <x:c r="AF43" s="3">
        <x:v>2</x:v>
      </x:c>
      <x:c r="AG43" s="3">
        <x:v>0</x:v>
      </x:c>
      <x:c r="AH43" s="2" t="s">
        <x:v>229</x:v>
      </x:c>
      <x:c r="AI43" s="3">
        <x:v>34</x:v>
      </x:c>
      <x:c r="AJ43" s="3">
        <x:v>0</x:v>
      </x:c>
      <x:c r="AK43" s="2" t="s">
        <x:v>66</x:v>
      </x:c>
      <x:c r="AL43" s="3">
        <x:v>0</x:v>
      </x:c>
      <x:c r="AM43" s="2" t="s">
        <x:v>230</x:v>
      </x:c>
      <x:c r="AN43" s="3">
        <x:v>37</x:v>
      </x:c>
      <x:c r="AO43" s="3">
        <x:v>56</x:v>
      </x:c>
      <x:c r="AP43" s="3">
        <x:v>56</x:v>
      </x:c>
      <x:c r="AQ43" s="5">
        <x:v>178.77336345702059</x:v>
      </x:c>
      <x:c r="AR43" s="5">
        <x:v>165.47490891305941</x:v>
      </x:c>
      <x:c r="AS43" s="5">
        <x:f t="shared" si="2"/>
        <x:v>100.00000000000007</x:v>
      </x:c>
      <x:c r="AT43" s="5">
        <x:v>191.5428894182364</x:v>
      </x:c>
      <x:c r="AU43" s="5">
        <x:v>261.63794059772101</x:v>
      </x:c>
      <x:c r="AV43" s="5">
        <x:v>92.9324324503838</x:v>
      </x:c>
      <x:c r="AW43" s="2" t="b">
        <x:v>0</x:v>
      </x:c>
      <x:c r="AX43" s="2"/>
      <x:c r="AY43" s="2" t="s">
        <x:v>68</x:v>
      </x:c>
      <x:c r="AZ43" s="6">
        <x:v>34</x:v>
      </x:c>
      <x:c r="BA43" s="6"/>
      <x:c r="BB43" s="7"/>
      <x:c r="BC43" s="7"/>
      <x:c r="BD43" s="8"/>
      <x:c r="BE43" s="2" t="e">
        <x:f>IF(AE43="Blocked","No",IF(AJ43&lt;=[1]Model_Parameters!$B$20,"Yes","No"))</x:f>
        <x:v>#NAME?</x:v>
      </x:c>
      <x:c r="BF43" s="2" t="str">
        <x:f t="shared" si="3"/>
        <x:v>Yes</x:v>
      </x:c>
      <x:c r="BG43" s="2" t="str">
        <x:f t="shared" si="4"/>
        <x:v>Yes</x:v>
      </x:c>
      <x:c r="BH43" s="24"/>
      <x:c r="BI43" s="24"/>
    </x:row>
    <x:row r="44">
      <x:c r="A44" s="2" t="s">
        <x:v>59</x:v>
      </x:c>
      <x:c r="B44" s="3">
        <x:v>87</x:v>
      </x:c>
      <x:c r="C44" s="2" t="s">
        <x:v>231</x:v>
      </x:c>
      <x:c r="D44" s="2" t="s">
        <x:v>232</x:v>
      </x:c>
      <x:c r="E44" s="2" t="s">
        <x:v>71</x:v>
      </x:c>
      <x:c r="F44" s="2" t="s">
        <x:v>72</x:v>
      </x:c>
      <x:c r="G44" s="3">
        <x:v>39</x:v>
      </x:c>
      <x:c r="H44" s="3">
        <x:v>1</x:v>
      </x:c>
      <x:c r="I44" s="3">
        <x:v>130</x:v>
      </x:c>
      <x:c r="J44" s="4">
        <x:v>3.8064165307232202E-2</x:v>
      </x:c>
      <x:c r="K44" s="3">
        <x:v>0</x:v>
      </x:c>
      <x:c r="L44" s="2" t="s">
        <x:v>233</x:v>
      </x:c>
      <x:c r="M44" s="3">
        <x:v>522</x:v>
      </x:c>
      <x:c r="N44" s="3">
        <x:v>35</x:v>
      </x:c>
      <x:c r="O44" s="5">
        <x:v>102.3550507147712</x:v>
      </x:c>
      <x:c r="P44" s="5">
        <x:v>19.892458018526291</x:v>
      </x:c>
      <x:c r="Q44" s="5"/>
      <x:c r="R44" s="5">
        <x:v>74.399283544914724</x:v>
      </x:c>
      <x:c r="S44" s="5">
        <x:f t="shared" si="0"/>
        <x:v>55.790488910546728</x:v>
      </x:c>
      <x:c r="T44" s="5">
        <x:f t="shared" si="1"/>
        <x:v>55.790488910546728</x:v>
      </x:c>
      <x:c r="U44" s="5" t="e">
        <x:f>T44/[1]Model_Parameters!$B$22</x:f>
        <x:v>#NAME?</x:v>
      </x:c>
      <x:c r="V44" s="5">
        <x:v>293.20219772200949</x:v>
      </x:c>
      <x:c r="W44" s="5">
        <x:v>293.20219772200949</x:v>
      </x:c>
      <x:c r="X44" s="5">
        <x:v>90.426081877781968</x:v>
      </x:c>
      <x:c r="Y44" s="3">
        <x:v>1</x:v>
      </x:c>
      <x:c r="Z44" s="3">
        <x:v>0</x:v>
      </x:c>
      <x:c r="AA44" s="3"/>
      <x:c r="AB44" s="2"/>
      <x:c r="AC44" s="3"/>
      <x:c r="AD44" s="3"/>
      <x:c r="AE44" s="2" t="s">
        <x:v>65</x:v>
      </x:c>
      <x:c r="AF44" s="3">
        <x:v>3</x:v>
      </x:c>
      <x:c r="AG44" s="3">
        <x:v>0</x:v>
      </x:c>
      <x:c r="AH44" s="2" t="s">
        <x:v>233</x:v>
      </x:c>
      <x:c r="AI44" s="3">
        <x:v>35</x:v>
      </x:c>
      <x:c r="AJ44" s="3">
        <x:v>0</x:v>
      </x:c>
      <x:c r="AK44" s="2" t="s">
        <x:v>66</x:v>
      </x:c>
      <x:c r="AL44" s="3">
        <x:v>0</x:v>
      </x:c>
      <x:c r="AM44" s="2" t="s">
        <x:v>234</x:v>
      </x:c>
      <x:c r="AN44" s="3">
        <x:v>36</x:v>
      </x:c>
      <x:c r="AO44" s="3">
        <x:v>13</x:v>
      </x:c>
      <x:c r="AP44" s="3">
        <x:v>13</x:v>
      </x:c>
      <x:c r="AQ44" s="5">
        <x:v>61.697341908446312</x:v>
      </x:c>
      <x:c r="AR44" s="5">
        <x:v>55.790488910546713</x:v>
      </x:c>
      <x:c r="AS44" s="5">
        <x:f t="shared" si="2"/>
        <x:v>99.999999999999972</x:v>
      </x:c>
      <x:c r="AT44" s="5">
        <x:v>284.75696265436761</x:v>
      </x:c>
      <x:c r="AU44" s="5">
        <x:v>293.20219772200949</x:v>
      </x:c>
      <x:c r="AV44" s="5">
        <x:v>74.399283544914724</x:v>
      </x:c>
      <x:c r="AW44" s="2" t="b">
        <x:v>0</x:v>
      </x:c>
      <x:c r="AX44" s="2"/>
      <x:c r="AY44" s="2" t="s">
        <x:v>75</x:v>
      </x:c>
      <x:c r="AZ44" s="6">
        <x:v>35</x:v>
      </x:c>
      <x:c r="BA44" s="6"/>
      <x:c r="BB44" s="7"/>
      <x:c r="BC44" s="7"/>
      <x:c r="BD44" s="8"/>
      <x:c r="BE44" s="2" t="e">
        <x:f>IF(AE44="Blocked","No",IF(AJ44&lt;=[1]Model_Parameters!$B$20,"Yes","No"))</x:f>
        <x:v>#NAME?</x:v>
      </x:c>
      <x:c r="BF44" s="2" t="str">
        <x:f t="shared" si="3"/>
        <x:v>Yes</x:v>
      </x:c>
      <x:c r="BG44" s="2" t="str">
        <x:f t="shared" si="4"/>
        <x:v>Yes</x:v>
      </x:c>
      <x:c r="BH44" s="24"/>
      <x:c r="BI44" s="24"/>
    </x:row>
    <x:row r="45">
      <x:c r="A45" s="2" t="s">
        <x:v>59</x:v>
      </x:c>
      <x:c r="B45" s="3">
        <x:v>93</x:v>
      </x:c>
      <x:c r="C45" s="2" t="s">
        <x:v>235</x:v>
      </x:c>
      <x:c r="D45" s="2" t="s">
        <x:v>236</x:v>
      </x:c>
      <x:c r="E45" s="2" t="s">
        <x:v>71</x:v>
      </x:c>
      <x:c r="F45" s="2" t="s">
        <x:v>72</x:v>
      </x:c>
      <x:c r="G45" s="3">
        <x:v>40</x:v>
      </x:c>
      <x:c r="H45" s="3">
        <x:v>1</x:v>
      </x:c>
      <x:c r="I45" s="3">
        <x:v>130</x:v>
      </x:c>
      <x:c r="J45" s="4">
        <x:v>2.7188689505165859E-2</x:v>
      </x:c>
      <x:c r="K45" s="3">
        <x:v>0</x:v>
      </x:c>
      <x:c r="L45" s="2" t="s">
        <x:v>237</x:v>
      </x:c>
      <x:c r="M45" s="3">
        <x:v>557</x:v>
      </x:c>
      <x:c r="N45" s="3">
        <x:v>38</x:v>
      </x:c>
      <x:c r="O45" s="5">
        <x:v>149.29893547868701</x:v>
      </x:c>
      <x:c r="P45" s="5">
        <x:v>23.16798255654777</x:v>
      </x:c>
      <x:c r="Q45" s="5"/>
      <x:c r="R45" s="5">
        <x:v>83.304465180630487</x:v>
      </x:c>
      <x:c r="S45" s="5">
        <x:f t="shared" si="0"/>
        <x:v>89.783128392081096</x:v>
      </x:c>
      <x:c r="T45" s="5">
        <x:f t="shared" si="1"/>
        <x:v>89.783128392081096</x:v>
      </x:c>
      <x:c r="U45" s="5" t="e">
        <x:f>T45/[1]Model_Parameters!$B$22</x:f>
        <x:v>#NAME?</x:v>
      </x:c>
      <x:c r="V45" s="5">
        <x:v>156.15771935595231</x:v>
      </x:c>
      <x:c r="W45" s="5">
        <x:v>156.15771935595231</x:v>
      </x:c>
      <x:c r="X45" s="5">
        <x:v>91.134079765702538</x:v>
      </x:c>
      <x:c r="Y45" s="3">
        <x:v>4</x:v>
      </x:c>
      <x:c r="Z45" s="3">
        <x:v>0</x:v>
      </x:c>
      <x:c r="AA45" s="3"/>
      <x:c r="AB45" s="2"/>
      <x:c r="AC45" s="3"/>
      <x:c r="AD45" s="3"/>
      <x:c r="AE45" s="2" t="s">
        <x:v>65</x:v>
      </x:c>
      <x:c r="AF45" s="3">
        <x:v>9</x:v>
      </x:c>
      <x:c r="AG45" s="3">
        <x:v>0</x:v>
      </x:c>
      <x:c r="AH45" s="2" t="s">
        <x:v>237</x:v>
      </x:c>
      <x:c r="AI45" s="3">
        <x:v>38</x:v>
      </x:c>
      <x:c r="AJ45" s="3">
        <x:v>0</x:v>
      </x:c>
      <x:c r="AK45" s="2" t="s">
        <x:v>66</x:v>
      </x:c>
      <x:c r="AL45" s="3">
        <x:v>0</x:v>
      </x:c>
      <x:c r="AM45" s="2" t="s">
        <x:v>238</x:v>
      </x:c>
      <x:c r="AN45" s="3">
        <x:v>41</x:v>
      </x:c>
      <x:c r="AO45" s="3">
        <x:v>43</x:v>
      </x:c>
      <x:c r="AP45" s="3">
        <x:v>43</x:v>
      </x:c>
      <x:c r="AQ45" s="5">
        <x:v>98.517622192384295</x:v>
      </x:c>
      <x:c r="AR45" s="5">
        <x:v>89.783128392081025</x:v>
      </x:c>
      <x:c r="AS45" s="5">
        <x:f t="shared" si="2"/>
        <x:v>99.999999999999929</x:v>
      </x:c>
      <x:c r="AT45" s="5">
        <x:v>137.46644957076879</x:v>
      </x:c>
      <x:c r="AU45" s="5">
        <x:v>156.15771935595231</x:v>
      </x:c>
      <x:c r="AV45" s="5">
        <x:v>83.304465180630487</x:v>
      </x:c>
      <x:c r="AW45" s="2" t="b">
        <x:v>0</x:v>
      </x:c>
      <x:c r="AX45" s="2"/>
      <x:c r="AY45" s="2" t="s">
        <x:v>75</x:v>
      </x:c>
      <x:c r="AZ45" s="6">
        <x:v>38</x:v>
      </x:c>
      <x:c r="BA45" s="6"/>
      <x:c r="BB45" s="7"/>
      <x:c r="BC45" s="7"/>
      <x:c r="BD45" s="8"/>
      <x:c r="BE45" s="2" t="e">
        <x:f>IF(AE45="Blocked","No",IF(AJ45&lt;=[1]Model_Parameters!$B$20,"Yes","No"))</x:f>
        <x:v>#NAME?</x:v>
      </x:c>
      <x:c r="BF45" s="2" t="str">
        <x:f t="shared" si="3"/>
        <x:v>Yes</x:v>
      </x:c>
      <x:c r="BG45" s="2" t="str">
        <x:f t="shared" si="4"/>
        <x:v>Yes</x:v>
      </x:c>
      <x:c r="BH45" s="24"/>
      <x:c r="BI45" s="24"/>
    </x:row>
    <x:row r="46">
      <x:c r="A46" s="2" t="s">
        <x:v>59</x:v>
      </x:c>
      <x:c r="B46" s="3">
        <x:v>95</x:v>
      </x:c>
      <x:c r="C46" s="2" t="s">
        <x:v>239</x:v>
      </x:c>
      <x:c r="D46" s="2" t="s">
        <x:v>240</x:v>
      </x:c>
      <x:c r="E46" s="2" t="s">
        <x:v>71</x:v>
      </x:c>
      <x:c r="F46" s="2" t="s">
        <x:v>72</x:v>
      </x:c>
      <x:c r="G46" s="3">
        <x:v>41</x:v>
      </x:c>
      <x:c r="H46" s="3">
        <x:v>1</x:v>
      </x:c>
      <x:c r="I46" s="3">
        <x:v>130</x:v>
      </x:c>
      <x:c r="J46" s="4">
        <x:v>2.7188689505165859E-2</x:v>
      </x:c>
      <x:c r="K46" s="3">
        <x:v>0</x:v>
      </x:c>
      <x:c r="L46" s="2" t="s">
        <x:v>241</x:v>
      </x:c>
      <x:c r="M46" s="3">
        <x:v>566</x:v>
      </x:c>
      <x:c r="N46" s="3">
        <x:v>38</x:v>
      </x:c>
      <x:c r="O46" s="5">
        <x:v>131.82955170508299</x:v>
      </x:c>
      <x:c r="P46" s="5">
        <x:v>30.25981032277797</x:v>
      </x:c>
      <x:c r="Q46" s="5"/>
      <x:c r="R46" s="5">
        <x:v>61.994373402718537</x:v>
      </x:c>
      <x:c r="S46" s="5">
        <x:f t="shared" si="0"/>
        <x:v>41.835532243852434</x:v>
      </x:c>
      <x:c r="T46" s="5">
        <x:f t="shared" si="1"/>
        <x:v>41.835532243852434</x:v>
      </x:c>
      <x:c r="U46" s="5" t="e">
        <x:f>T46/[1]Model_Parameters!$B$22</x:f>
        <x:v>#NAME?</x:v>
      </x:c>
      <x:c r="V46" s="5">
        <x:v>318.13959750017301</x:v>
      </x:c>
      <x:c r="W46" s="5">
        <x:v>318.13959750017301</x:v>
      </x:c>
      <x:c r="X46" s="5">
        <x:v>90.152306079031277</x:v>
      </x:c>
      <x:c r="Y46" s="3">
        <x:v>5</x:v>
      </x:c>
      <x:c r="Z46" s="3">
        <x:v>0</x:v>
      </x:c>
      <x:c r="AA46" s="3"/>
      <x:c r="AB46" s="2"/>
      <x:c r="AC46" s="3"/>
      <x:c r="AD46" s="3"/>
      <x:c r="AE46" s="2" t="s">
        <x:v>65</x:v>
      </x:c>
      <x:c r="AF46" s="3">
        <x:v>1</x:v>
      </x:c>
      <x:c r="AG46" s="3">
        <x:v>0</x:v>
      </x:c>
      <x:c r="AH46" s="2" t="s">
        <x:v>241</x:v>
      </x:c>
      <x:c r="AI46" s="3">
        <x:v>38</x:v>
      </x:c>
      <x:c r="AJ46" s="3">
        <x:v>0</x:v>
      </x:c>
      <x:c r="AK46" s="2" t="s">
        <x:v>66</x:v>
      </x:c>
      <x:c r="AL46" s="3">
        <x:v>0</x:v>
      </x:c>
      <x:c r="AM46" s="2" t="s">
        <x:v>242</x:v>
      </x:c>
      <x:c r="AN46" s="3">
        <x:v>39</x:v>
      </x:c>
      <x:c r="AO46" s="3">
        <x:v>9</x:v>
      </x:c>
      <x:c r="AP46" s="3">
        <x:v>9</x:v>
      </x:c>
      <x:c r="AQ46" s="5">
        <x:v>46.405393343102787</x:v>
      </x:c>
      <x:c r="AR46" s="5">
        <x:v>41.835532243852413</x:v>
      </x:c>
      <x:c r="AS46" s="5">
        <x:f t="shared" si="2"/>
        <x:v>99.999999999999943</x:v>
      </x:c>
      <x:c r="AT46" s="5">
        <x:v>309.3692889540186</x:v>
      </x:c>
      <x:c r="AU46" s="5">
        <x:v>318.13959750017301</x:v>
      </x:c>
      <x:c r="AV46" s="5">
        <x:v>61.994373402718537</x:v>
      </x:c>
      <x:c r="AW46" s="2" t="b">
        <x:v>0</x:v>
      </x:c>
      <x:c r="AX46" s="2"/>
      <x:c r="AY46" s="2" t="s">
        <x:v>75</x:v>
      </x:c>
      <x:c r="AZ46" s="6">
        <x:v>38</x:v>
      </x:c>
      <x:c r="BA46" s="6"/>
      <x:c r="BB46" s="7"/>
      <x:c r="BC46" s="7"/>
      <x:c r="BD46" s="8"/>
      <x:c r="BE46" s="2" t="e">
        <x:f>IF(AE46="Blocked","No",IF(AJ46&lt;=[1]Model_Parameters!$B$20,"Yes","No"))</x:f>
        <x:v>#NAME?</x:v>
      </x:c>
      <x:c r="BF46" s="2" t="str">
        <x:f t="shared" si="3"/>
        <x:v>Yes</x:v>
      </x:c>
      <x:c r="BG46" s="2" t="str">
        <x:f t="shared" si="4"/>
        <x:v>Yes</x:v>
      </x:c>
      <x:c r="BH46" s="24"/>
      <x:c r="BI46" s="24"/>
    </x:row>
    <x:row r="47">
      <x:c r="A47" s="2" t="s">
        <x:v>59</x:v>
      </x:c>
      <x:c r="B47" s="3">
        <x:v>98</x:v>
      </x:c>
      <x:c r="C47" s="2" t="s">
        <x:v>243</x:v>
      </x:c>
      <x:c r="D47" s="2" t="s">
        <x:v>244</x:v>
      </x:c>
      <x:c r="E47" s="2" t="s">
        <x:v>71</x:v>
      </x:c>
      <x:c r="F47" s="2" t="s">
        <x:v>72</x:v>
      </x:c>
      <x:c r="G47" s="3">
        <x:v>42</x:v>
      </x:c>
      <x:c r="H47" s="3">
        <x:v>1</x:v>
      </x:c>
      <x:c r="I47" s="3">
        <x:v>130</x:v>
      </x:c>
      <x:c r="J47" s="4">
        <x:v>1.3050570962479611E-2</x:v>
      </x:c>
      <x:c r="K47" s="3">
        <x:v>0</x:v>
      </x:c>
      <x:c r="L47" s="2" t="s">
        <x:v>245</x:v>
      </x:c>
      <x:c r="M47" s="3">
        <x:v>603</x:v>
      </x:c>
      <x:c r="N47" s="3">
        <x:v>41</x:v>
      </x:c>
      <x:c r="O47" s="5">
        <x:v>74.463450845346799</x:v>
      </x:c>
      <x:c r="P47" s="5">
        <x:v>23.34535739476976</x:v>
      </x:c>
      <x:c r="Q47" s="5"/>
      <x:c r="R47" s="5">
        <x:v>35.217374716679842</x:v>
      </x:c>
      <x:c r="S47" s="5">
        <x:f t="shared" si="0"/>
        <x:v>8.8403137828515721</x:v>
      </x:c>
      <x:c r="T47" s="5">
        <x:f t="shared" si="1"/>
        <x:v>8.8403137828515721</x:v>
      </x:c>
      <x:c r="U47" s="5" t="e">
        <x:f>T47/[1]Model_Parameters!$B$22</x:f>
        <x:v>#NAME?</x:v>
      </x:c>
      <x:c r="V47" s="5">
        <x:v>271.35905974050451</x:v>
      </x:c>
      <x:c r="W47" s="5">
        <x:v>271.35905974050451</x:v>
      </x:c>
      <x:c r="X47" s="5">
        <x:v>94.012460945286463</x:v>
      </x:c>
      <x:c r="Y47" s="3">
        <x:v>0</x:v>
      </x:c>
      <x:c r="Z47" s="3">
        <x:v>0</x:v>
      </x:c>
      <x:c r="AA47" s="3"/>
      <x:c r="AB47" s="2"/>
      <x:c r="AC47" s="3"/>
      <x:c r="AD47" s="3"/>
      <x:c r="AE47" s="2" t="s">
        <x:v>65</x:v>
      </x:c>
      <x:c r="AF47" s="3">
        <x:v>4</x:v>
      </x:c>
      <x:c r="AG47" s="3">
        <x:v>0</x:v>
      </x:c>
      <x:c r="AH47" s="2" t="s">
        <x:v>245</x:v>
      </x:c>
      <x:c r="AI47" s="3">
        <x:v>41</x:v>
      </x:c>
      <x:c r="AJ47" s="3">
        <x:v>0</x:v>
      </x:c>
      <x:c r="AK47" s="2" t="s">
        <x:v>66</x:v>
      </x:c>
      <x:c r="AL47" s="3">
        <x:v>0</x:v>
      </x:c>
      <x:c r="AM47" s="2" t="s">
        <x:v>246</x:v>
      </x:c>
      <x:c r="AN47" s="3">
        <x:v>41</x:v>
      </x:c>
      <x:c r="AO47" s="3">
        <x:v>3</x:v>
      </x:c>
      <x:c r="AP47" s="3">
        <x:v>3</x:v>
      </x:c>
      <x:c r="AQ47" s="5">
        <x:v>9.4033425930595236</x:v>
      </x:c>
      <x:c r="AR47" s="5">
        <x:v>8.8403137828515721</x:v>
      </x:c>
      <x:c r="AS47" s="5">
        <x:f t="shared" si="2"/>
        <x:v>100</x:v>
      </x:c>
      <x:c r="AT47" s="5">
        <x:v>188.06685186119049</x:v>
      </x:c>
      <x:c r="AU47" s="5">
        <x:v>271.35905974050451</x:v>
      </x:c>
      <x:c r="AV47" s="5">
        <x:v>35.217374716679842</x:v>
      </x:c>
      <x:c r="AW47" s="2" t="b">
        <x:v>0</x:v>
      </x:c>
      <x:c r="AX47" s="2"/>
      <x:c r="AY47" s="2" t="s">
        <x:v>75</x:v>
      </x:c>
      <x:c r="AZ47" s="6">
        <x:v>41</x:v>
      </x:c>
      <x:c r="BA47" s="6"/>
      <x:c r="BB47" s="7"/>
      <x:c r="BC47" s="7"/>
      <x:c r="BD47" s="8"/>
      <x:c r="BE47" s="2" t="e">
        <x:f>IF(AE47="Blocked","No",IF(AJ47&lt;=[1]Model_Parameters!$B$20,"Yes","No"))</x:f>
        <x:v>#NAME?</x:v>
      </x:c>
      <x:c r="BF47" s="2" t="str">
        <x:f t="shared" si="3"/>
        <x:v>Yes</x:v>
      </x:c>
      <x:c r="BG47" s="2" t="str">
        <x:f t="shared" si="4"/>
        <x:v>Yes</x:v>
      </x:c>
      <x:c r="BH47" s="24"/>
      <x:c r="BI47" s="24"/>
    </x:row>
    <x:row r="48">
      <x:c r="A48" s="2" t="s">
        <x:v>59</x:v>
      </x:c>
      <x:c r="B48" s="3">
        <x:v>99</x:v>
      </x:c>
      <x:c r="C48" s="2" t="s">
        <x:v>247</x:v>
      </x:c>
      <x:c r="D48" s="2" t="s">
        <x:v>248</x:v>
      </x:c>
      <x:c r="E48" s="2" t="s">
        <x:v>71</x:v>
      </x:c>
      <x:c r="F48" s="2" t="s">
        <x:v>72</x:v>
      </x:c>
      <x:c r="G48" s="3">
        <x:v>43</x:v>
      </x:c>
      <x:c r="H48" s="3">
        <x:v>1</x:v>
      </x:c>
      <x:c r="I48" s="3">
        <x:v>130</x:v>
      </x:c>
      <x:c r="J48" s="4">
        <x:v>1.3050570962479611E-2</x:v>
      </x:c>
      <x:c r="K48" s="3">
        <x:v>0</x:v>
      </x:c>
      <x:c r="L48" s="2" t="s">
        <x:v>246</x:v>
      </x:c>
      <x:c r="M48" s="3">
        <x:v>606</x:v>
      </x:c>
      <x:c r="N48" s="3">
        <x:v>41</x:v>
      </x:c>
      <x:c r="O48" s="5">
        <x:v>63.686501890513703</x:v>
      </x:c>
      <x:c r="P48" s="5">
        <x:v>19.55542493854875</x:v>
      </x:c>
      <x:c r="Q48" s="5"/>
      <x:c r="R48" s="5">
        <x:v>90.28053000621918</x:v>
      </x:c>
      <x:c r="S48" s="5">
        <x:f t="shared" si="0"/>
        <x:v>45.042345375989726</x:v>
      </x:c>
      <x:c r="T48" s="5">
        <x:f t="shared" si="1"/>
        <x:v>45.042345375989726</x:v>
      </x:c>
      <x:c r="U48" s="5" t="e">
        <x:f>T48/[1]Model_Parameters!$B$22</x:f>
        <x:v>#NAME?</x:v>
      </x:c>
      <x:c r="V48" s="5">
        <x:v>278.57653632539149</x:v>
      </x:c>
      <x:c r="W48" s="5">
        <x:v>278.57653632539149</x:v>
      </x:c>
      <x:c r="X48" s="5">
        <x:v>90.213011211370187</x:v>
      </x:c>
      <x:c r="Y48" s="3">
        <x:v>0</x:v>
      </x:c>
      <x:c r="Z48" s="3">
        <x:v>0</x:v>
      </x:c>
      <x:c r="AA48" s="3"/>
      <x:c r="AB48" s="2"/>
      <x:c r="AC48" s="3"/>
      <x:c r="AD48" s="3"/>
      <x:c r="AE48" s="2" t="s">
        <x:v>65</x:v>
      </x:c>
      <x:c r="AF48" s="3">
        <x:v>5</x:v>
      </x:c>
      <x:c r="AG48" s="3">
        <x:v>0</x:v>
      </x:c>
      <x:c r="AH48" s="2" t="s">
        <x:v>246</x:v>
      </x:c>
      <x:c r="AI48" s="3">
        <x:v>41</x:v>
      </x:c>
      <x:c r="AJ48" s="3">
        <x:v>0</x:v>
      </x:c>
      <x:c r="AK48" s="2" t="s">
        <x:v>66</x:v>
      </x:c>
      <x:c r="AL48" s="3">
        <x:v>0</x:v>
      </x:c>
      <x:c r="AM48" s="2" t="s">
        <x:v>249</x:v>
      </x:c>
      <x:c r="AN48" s="3">
        <x:v>42</x:v>
      </x:c>
      <x:c r="AO48" s="3">
        <x:v>14</x:v>
      </x:c>
      <x:c r="AP48" s="3">
        <x:v>14</x:v>
      </x:c>
      <x:c r="AQ48" s="5">
        <x:v>49.928879184018101</x:v>
      </x:c>
      <x:c r="AR48" s="5">
        <x:v>45.042345375989733</x:v>
      </x:c>
      <x:c r="AS48" s="5">
        <x:f t="shared" si="2"/>
        <x:v>100.00000000000003</x:v>
      </x:c>
      <x:c r="AT48" s="5">
        <x:v>213.980910788649</x:v>
      </x:c>
      <x:c r="AU48" s="5">
        <x:v>278.57653632539149</x:v>
      </x:c>
      <x:c r="AV48" s="5">
        <x:v>90.28053000621918</x:v>
      </x:c>
      <x:c r="AW48" s="2" t="b">
        <x:v>0</x:v>
      </x:c>
      <x:c r="AX48" s="2"/>
      <x:c r="AY48" s="2" t="s">
        <x:v>75</x:v>
      </x:c>
      <x:c r="AZ48" s="6">
        <x:v>41</x:v>
      </x:c>
      <x:c r="BA48" s="6"/>
      <x:c r="BB48" s="7"/>
      <x:c r="BC48" s="7"/>
      <x:c r="BD48" s="8"/>
      <x:c r="BE48" s="2" t="e">
        <x:f>IF(AE48="Blocked","No",IF(AJ48&lt;=[1]Model_Parameters!$B$20,"Yes","No"))</x:f>
        <x:v>#NAME?</x:v>
      </x:c>
      <x:c r="BF48" s="2" t="str">
        <x:f t="shared" si="3"/>
        <x:v>Yes</x:v>
      </x:c>
      <x:c r="BG48" s="2" t="str">
        <x:f t="shared" si="4"/>
        <x:v>Yes</x:v>
      </x:c>
      <x:c r="BH48" s="24"/>
      <x:c r="BI48" s="24"/>
    </x:row>
    <x:row r="49">
      <x:c r="A49" s="2" t="s">
        <x:v>59</x:v>
      </x:c>
      <x:c r="B49" s="3">
        <x:v>101</x:v>
      </x:c>
      <x:c r="C49" s="2" t="s">
        <x:v>250</x:v>
      </x:c>
      <x:c r="D49" s="2" t="s">
        <x:v>251</x:v>
      </x:c>
      <x:c r="E49" s="2" t="s">
        <x:v>71</x:v>
      </x:c>
      <x:c r="F49" s="2" t="s">
        <x:v>72</x:v>
      </x:c>
      <x:c r="G49" s="3">
        <x:v>44</x:v>
      </x:c>
      <x:c r="H49" s="3">
        <x:v>1</x:v>
      </x:c>
      <x:c r="I49" s="3">
        <x:v>130</x:v>
      </x:c>
      <x:c r="J49" s="4">
        <x:v>1.3050570962479611E-2</x:v>
      </x:c>
      <x:c r="K49" s="3">
        <x:v>0</x:v>
      </x:c>
      <x:c r="L49" s="2" t="s">
        <x:v>252</x:v>
      </x:c>
      <x:c r="M49" s="3">
        <x:v>630</x:v>
      </x:c>
      <x:c r="N49" s="3">
        <x:v>43</x:v>
      </x:c>
      <x:c r="O49" s="5">
        <x:v>61.823150577866748</x:v>
      </x:c>
      <x:c r="P49" s="5">
        <x:v>31.68809130041441</x:v>
      </x:c>
      <x:c r="Q49" s="5"/>
      <x:c r="R49" s="5">
        <x:v>74.762372405234643</x:v>
      </x:c>
      <x:c r="S49" s="5">
        <x:f t="shared" si="0"/>
        <x:v>26.629877667766614</x:v>
      </x:c>
      <x:c r="T49" s="5">
        <x:f t="shared" si="1"/>
        <x:v>26.629877667766614</x:v>
      </x:c>
      <x:c r="U49" s="5" t="e">
        <x:f>T49/[1]Model_Parameters!$B$22</x:f>
        <x:v>#NAME?</x:v>
      </x:c>
      <x:c r="V49" s="5">
        <x:v>266.05354915008598</x:v>
      </x:c>
      <x:c r="W49" s="5">
        <x:v>266.05354915008598</x:v>
      </x:c>
      <x:c r="X49" s="5">
        <x:v>91.095449955040294</x:v>
      </x:c>
      <x:c r="Y49" s="3">
        <x:v>1</x:v>
      </x:c>
      <x:c r="Z49" s="3">
        <x:v>0</x:v>
      </x:c>
      <x:c r="AA49" s="3"/>
      <x:c r="AB49" s="2"/>
      <x:c r="AC49" s="3"/>
      <x:c r="AD49" s="3"/>
      <x:c r="AE49" s="2" t="s">
        <x:v>65</x:v>
      </x:c>
      <x:c r="AF49" s="3">
        <x:v>7</x:v>
      </x:c>
      <x:c r="AG49" s="3">
        <x:v>0</x:v>
      </x:c>
      <x:c r="AH49" s="2" t="s">
        <x:v>252</x:v>
      </x:c>
      <x:c r="AI49" s="3">
        <x:v>43</x:v>
      </x:c>
      <x:c r="AJ49" s="3">
        <x:v>0</x:v>
      </x:c>
      <x:c r="AK49" s="2" t="s">
        <x:v>66</x:v>
      </x:c>
      <x:c r="AL49" s="3">
        <x:v>0</x:v>
      </x:c>
      <x:c r="AM49" s="2" t="s">
        <x:v>253</x:v>
      </x:c>
      <x:c r="AN49" s="3">
        <x:v>43</x:v>
      </x:c>
      <x:c r="AO49" s="3">
        <x:v>7</x:v>
      </x:c>
      <x:c r="AP49" s="3">
        <x:v>7</x:v>
      </x:c>
      <x:c r="AQ49" s="5">
        <x:v>29.232939384908541</x:v>
      </x:c>
      <x:c r="AR49" s="5">
        <x:v>26.629877667766628</x:v>
      </x:c>
      <x:c r="AS49" s="5">
        <x:f t="shared" si="2"/>
        <x:v>100.00000000000004</x:v>
      </x:c>
      <x:c r="AT49" s="5">
        <x:v>250.56805187064469</x:v>
      </x:c>
      <x:c r="AU49" s="5">
        <x:v>266.05354915008598</x:v>
      </x:c>
      <x:c r="AV49" s="5">
        <x:v>74.762372405234643</x:v>
      </x:c>
      <x:c r="AW49" s="2" t="b">
        <x:v>0</x:v>
      </x:c>
      <x:c r="AX49" s="2"/>
      <x:c r="AY49" s="2" t="s">
        <x:v>75</x:v>
      </x:c>
      <x:c r="AZ49" s="6">
        <x:v>43</x:v>
      </x:c>
      <x:c r="BA49" s="6"/>
      <x:c r="BB49" s="7"/>
      <x:c r="BC49" s="7"/>
      <x:c r="BD49" s="8"/>
      <x:c r="BE49" s="2" t="e">
        <x:f>IF(AE49="Blocked","No",IF(AJ49&lt;=[1]Model_Parameters!$B$20,"Yes","No"))</x:f>
        <x:v>#NAME?</x:v>
      </x:c>
      <x:c r="BF49" s="2" t="str">
        <x:f t="shared" si="3"/>
        <x:v>Yes</x:v>
      </x:c>
      <x:c r="BG49" s="2" t="str">
        <x:f t="shared" si="4"/>
        <x:v>Yes</x:v>
      </x:c>
      <x:c r="BH49" s="24"/>
      <x:c r="BI49" s="24"/>
    </x:row>
    <x:row r="50">
      <x:c r="A50" s="2" t="s">
        <x:v>59</x:v>
      </x:c>
      <x:c r="B50" s="3">
        <x:v>105</x:v>
      </x:c>
      <x:c r="C50" s="2" t="s">
        <x:v>254</x:v>
      </x:c>
      <x:c r="D50" s="2" t="s">
        <x:v>255</x:v>
      </x:c>
      <x:c r="E50" s="2" t="s">
        <x:v>71</x:v>
      </x:c>
      <x:c r="F50" s="2" t="s">
        <x:v>72</x:v>
      </x:c>
      <x:c r="G50" s="3">
        <x:v>45</x:v>
      </x:c>
      <x:c r="H50" s="3">
        <x:v>1</x:v>
      </x:c>
      <x:c r="I50" s="3">
        <x:v>130</x:v>
      </x:c>
      <x:c r="J50" s="4">
        <x:v>1.3050570962479611E-2</x:v>
      </x:c>
      <x:c r="K50" s="3">
        <x:v>0</x:v>
      </x:c>
      <x:c r="L50" s="2" t="s">
        <x:v>256</x:v>
      </x:c>
      <x:c r="M50" s="3">
        <x:v>706</x:v>
      </x:c>
      <x:c r="N50" s="3">
        <x:v>48</x:v>
      </x:c>
      <x:c r="O50" s="5">
        <x:v>91.244630435558207</x:v>
      </x:c>
      <x:c r="P50" s="5">
        <x:v>39.291915763378249</x:v>
      </x:c>
      <x:c r="Q50" s="5"/>
      <x:c r="R50" s="5">
        <x:v>53.607051776420093</x:v>
      </x:c>
      <x:c r="S50" s="5">
        <x:f t="shared" si="0"/>
        <x:v>13.061792951447533</x:v>
      </x:c>
      <x:c r="T50" s="5">
        <x:f t="shared" si="1"/>
        <x:v>13.061792951447533</x:v>
      </x:c>
      <x:c r="U50" s="5" t="e">
        <x:f>T50/[1]Model_Parameters!$B$22</x:f>
        <x:v>#NAME?</x:v>
      </x:c>
      <x:c r="V50" s="5">
        <x:v>405.42429779257412</x:v>
      </x:c>
      <x:c r="W50" s="5">
        <x:v>405.42429779257412</x:v>
      </x:c>
      <x:c r="X50" s="5">
        <x:v>92.573785281367165</x:v>
      </x:c>
      <x:c r="Y50" s="3">
        <x:v>1</x:v>
      </x:c>
      <x:c r="Z50" s="3">
        <x:v>0</x:v>
      </x:c>
      <x:c r="AA50" s="3"/>
      <x:c r="AB50" s="2"/>
      <x:c r="AC50" s="3"/>
      <x:c r="AD50" s="3"/>
      <x:c r="AE50" s="2" t="s">
        <x:v>65</x:v>
      </x:c>
      <x:c r="AF50" s="3">
        <x:v>1</x:v>
      </x:c>
      <x:c r="AG50" s="3">
        <x:v>0</x:v>
      </x:c>
      <x:c r="AH50" s="2" t="s">
        <x:v>256</x:v>
      </x:c>
      <x:c r="AI50" s="3">
        <x:v>48</x:v>
      </x:c>
      <x:c r="AJ50" s="3">
        <x:v>0</x:v>
      </x:c>
      <x:c r="AK50" s="2" t="s">
        <x:v>66</x:v>
      </x:c>
      <x:c r="AL50" s="3">
        <x:v>0</x:v>
      </x:c>
      <x:c r="AM50" s="2" t="s">
        <x:v>257</x:v>
      </x:c>
      <x:c r="AN50" s="3">
        <x:v>48</x:v>
      </x:c>
      <x:c r="AO50" s="3">
        <x:v>3</x:v>
      </x:c>
      <x:c r="AP50" s="3">
        <x:v>3</x:v>
      </x:c>
      <x:c r="AQ50" s="5">
        <x:v>14.109602315329051</x:v>
      </x:c>
      <x:c r="AR50" s="5">
        <x:v>13.06179295144752</x:v>
      </x:c>
      <x:c r="AS50" s="5">
        <x:f t="shared" si="2"/>
        <x:v>99.999999999999901</x:v>
      </x:c>
      <x:c r="AT50" s="5">
        <x:v>282.19204630658089</x:v>
      </x:c>
      <x:c r="AU50" s="5">
        <x:v>405.42429779257412</x:v>
      </x:c>
      <x:c r="AV50" s="5">
        <x:v>53.607051776420093</x:v>
      </x:c>
      <x:c r="AW50" s="2" t="b">
        <x:v>0</x:v>
      </x:c>
      <x:c r="AX50" s="2"/>
      <x:c r="AY50" s="2" t="s">
        <x:v>75</x:v>
      </x:c>
      <x:c r="AZ50" s="6">
        <x:v>48</x:v>
      </x:c>
      <x:c r="BA50" s="6"/>
      <x:c r="BB50" s="7"/>
      <x:c r="BC50" s="7"/>
      <x:c r="BD50" s="8"/>
      <x:c r="BE50" s="2" t="e">
        <x:f>IF(AE50="Blocked","No",IF(AJ50&lt;=[1]Model_Parameters!$B$20,"Yes","No"))</x:f>
        <x:v>#NAME?</x:v>
      </x:c>
      <x:c r="BF50" s="2" t="str">
        <x:f t="shared" si="3"/>
        <x:v>Yes</x:v>
      </x:c>
      <x:c r="BG50" s="2" t="str">
        <x:f t="shared" si="4"/>
        <x:v>Yes</x:v>
      </x:c>
      <x:c r="BH50" s="24"/>
      <x:c r="BI50" s="24"/>
    </x:row>
    <x:row r="51">
      <x:c r="A51" s="2" t="s">
        <x:v>59</x:v>
      </x:c>
      <x:c r="B51" s="3">
        <x:v>107</x:v>
      </x:c>
      <x:c r="C51" s="2" t="s">
        <x:v>258</x:v>
      </x:c>
      <x:c r="D51" s="2" t="s">
        <x:v>259</x:v>
      </x:c>
      <x:c r="E51" s="2" t="s">
        <x:v>62</x:v>
      </x:c>
      <x:c r="F51" s="2" t="s">
        <x:v>63</x:v>
      </x:c>
      <x:c r="G51" s="3">
        <x:v>5</x:v>
      </x:c>
      <x:c r="H51" s="3">
        <x:v>1</x:v>
      </x:c>
      <x:c r="I51" s="3">
        <x:v>20</x:v>
      </x:c>
      <x:c r="J51" s="4">
        <x:v>3.0864197530864199E-2</x:v>
      </x:c>
      <x:c r="K51" s="3">
        <x:v>0</x:v>
      </x:c>
      <x:c r="L51" s="2" t="s">
        <x:v>260</x:v>
      </x:c>
      <x:c r="M51" s="3">
        <x:v>727</x:v>
      </x:c>
      <x:c r="N51" s="3">
        <x:v>49</x:v>
      </x:c>
      <x:c r="O51" s="5">
        <x:v>143.52436377171571</x:v>
      </x:c>
      <x:c r="P51" s="5">
        <x:v>48.713664126202538</x:v>
      </x:c>
      <x:c r="Q51" s="5"/>
      <x:c r="R51" s="5">
        <x:v>77.13602261403048</x:v>
      </x:c>
      <x:c r="S51" s="5">
        <x:f t="shared" si="0"/>
        <x:v>40.793009188571297</x:v>
      </x:c>
      <x:c r="T51" s="5">
        <x:f t="shared" si="1"/>
        <x:v>40.793009188571297</x:v>
      </x:c>
      <x:c r="U51" s="5" t="e">
        <x:f>T51/[1]Model_Parameters!$B$22</x:f>
        <x:v>#NAME?</x:v>
      </x:c>
      <x:c r="V51" s="5">
        <x:v>447.9136282797997</x:v>
      </x:c>
      <x:c r="W51" s="5">
        <x:v>447.9136282797997</x:v>
      </x:c>
      <x:c r="X51" s="5">
        <x:v>94.395085511665926</x:v>
      </x:c>
      <x:c r="Y51" s="3">
        <x:v>1</x:v>
      </x:c>
      <x:c r="Z51" s="3">
        <x:v>0</x:v>
      </x:c>
      <x:c r="AA51" s="3"/>
      <x:c r="AB51" s="2"/>
      <x:c r="AC51" s="3"/>
      <x:c r="AD51" s="3"/>
      <x:c r="AE51" s="2" t="s">
        <x:v>65</x:v>
      </x:c>
      <x:c r="AF51" s="3">
        <x:v>3</x:v>
      </x:c>
      <x:c r="AG51" s="3">
        <x:v>0</x:v>
      </x:c>
      <x:c r="AH51" s="2" t="s">
        <x:v>260</x:v>
      </x:c>
      <x:c r="AI51" s="3">
        <x:v>49</x:v>
      </x:c>
      <x:c r="AJ51" s="3">
        <x:v>0</x:v>
      </x:c>
      <x:c r="AK51" s="2" t="s">
        <x:v>66</x:v>
      </x:c>
      <x:c r="AL51" s="3">
        <x:v>0</x:v>
      </x:c>
      <x:c r="AM51" s="2" t="s">
        <x:v>261</x:v>
      </x:c>
      <x:c r="AN51" s="3">
        <x:v>49</x:v>
      </x:c>
      <x:c r="AO51" s="3">
        <x:v>7</x:v>
      </x:c>
      <x:c r="AP51" s="3">
        <x:v>7</x:v>
      </x:c>
      <x:c r="AQ51" s="5">
        <x:v>43.215183256049762</x:v>
      </x:c>
      <x:c r="AR51" s="5">
        <x:v>40.793009188571297</x:v>
      </x:c>
      <x:c r="AS51" s="5">
        <x:f t="shared" si="2"/>
        <x:v>100</x:v>
      </x:c>
      <x:c r="AT51" s="5">
        <x:v>370.41585648042638</x:v>
      </x:c>
      <x:c r="AU51" s="5">
        <x:v>447.9136282797997</x:v>
      </x:c>
      <x:c r="AV51" s="5">
        <x:v>77.13602261403048</x:v>
      </x:c>
      <x:c r="AW51" s="2" t="b">
        <x:v>0</x:v>
      </x:c>
      <x:c r="AX51" s="2"/>
      <x:c r="AY51" s="2" t="s">
        <x:v>68</x:v>
      </x:c>
      <x:c r="AZ51" s="6">
        <x:v>49</x:v>
      </x:c>
      <x:c r="BA51" s="6"/>
      <x:c r="BB51" s="7"/>
      <x:c r="BC51" s="7"/>
      <x:c r="BD51" s="8"/>
      <x:c r="BE51" s="2" t="e">
        <x:f>IF(AE51="Blocked","No",IF(AJ51&lt;=[1]Model_Parameters!$B$20,"Yes","No"))</x:f>
        <x:v>#NAME?</x:v>
      </x:c>
      <x:c r="BF51" s="2" t="str">
        <x:f t="shared" si="3"/>
        <x:v>Yes</x:v>
      </x:c>
      <x:c r="BG51" s="2" t="str">
        <x:f t="shared" si="4"/>
        <x:v>Yes</x:v>
      </x:c>
      <x:c r="BH51" s="24"/>
      <x:c r="BI51" s="24"/>
    </x:row>
    <x:row r="52">
      <x:c r="A52" s="2" t="s">
        <x:v>59</x:v>
      </x:c>
      <x:c r="B52" s="3">
        <x:v>110</x:v>
      </x:c>
      <x:c r="C52" s="2" t="s">
        <x:v>262</x:v>
      </x:c>
      <x:c r="D52" s="2" t="s">
        <x:v>263</x:v>
      </x:c>
      <x:c r="E52" s="2" t="s">
        <x:v>71</x:v>
      </x:c>
      <x:c r="F52" s="2" t="s">
        <x:v>72</x:v>
      </x:c>
      <x:c r="G52" s="3">
        <x:v>46</x:v>
      </x:c>
      <x:c r="H52" s="3">
        <x:v>1</x:v>
      </x:c>
      <x:c r="I52" s="3">
        <x:v>130</x:v>
      </x:c>
      <x:c r="J52" s="4">
        <x:v>3.8064165307232202E-2</x:v>
      </x:c>
      <x:c r="K52" s="3">
        <x:v>0</x:v>
      </x:c>
      <x:c r="L52" s="2" t="s">
        <x:v>264</x:v>
      </x:c>
      <x:c r="M52" s="3">
        <x:v>747</x:v>
      </x:c>
      <x:c r="N52" s="3">
        <x:v>50</x:v>
      </x:c>
      <x:c r="O52" s="5">
        <x:v>134.37756008445001</x:v>
      </x:c>
      <x:c r="P52" s="5">
        <x:v>17.957013272126229</x:v>
      </x:c>
      <x:c r="Q52" s="5"/>
      <x:c r="R52" s="5">
        <x:v>89.096978858474458</x:v>
      </x:c>
      <x:c r="S52" s="5">
        <x:f t="shared" si="0"/>
        <x:v>95.596149999852145</x:v>
      </x:c>
      <x:c r="T52" s="5">
        <x:f t="shared" si="1"/>
        <x:v>95.596149999852145</x:v>
      </x:c>
      <x:c r="U52" s="5" t="e">
        <x:f>T52/[1]Model_Parameters!$B$22</x:f>
        <x:v>#NAME?</x:v>
      </x:c>
      <x:c r="V52" s="5">
        <x:v>346.08316118627909</x:v>
      </x:c>
      <x:c r="W52" s="5">
        <x:v>346.08316118627909</x:v>
      </x:c>
      <x:c r="X52" s="5">
        <x:v>91.231101809729225</x:v>
      </x:c>
      <x:c r="Y52" s="3">
        <x:v>2</x:v>
      </x:c>
      <x:c r="Z52" s="3">
        <x:v>0</x:v>
      </x:c>
      <x:c r="AA52" s="3"/>
      <x:c r="AB52" s="2"/>
      <x:c r="AC52" s="3"/>
      <x:c r="AD52" s="3"/>
      <x:c r="AE52" s="2" t="s">
        <x:v>65</x:v>
      </x:c>
      <x:c r="AF52" s="3">
        <x:v>6</x:v>
      </x:c>
      <x:c r="AG52" s="3">
        <x:v>0</x:v>
      </x:c>
      <x:c r="AH52" s="2" t="s">
        <x:v>264</x:v>
      </x:c>
      <x:c r="AI52" s="3">
        <x:v>50</x:v>
      </x:c>
      <x:c r="AJ52" s="3">
        <x:v>0</x:v>
      </x:c>
      <x:c r="AK52" s="2" t="s">
        <x:v>66</x:v>
      </x:c>
      <x:c r="AL52" s="3">
        <x:v>0</x:v>
      </x:c>
      <x:c r="AM52" s="2" t="s">
        <x:v>265</x:v>
      </x:c>
      <x:c r="AN52" s="3">
        <x:v>52</x:v>
      </x:c>
      <x:c r="AO52" s="3">
        <x:v>23</x:v>
      </x:c>
      <x:c r="AP52" s="3">
        <x:v>23</x:v>
      </x:c>
      <x:c r="AQ52" s="5">
        <x:v>104.7846053632308</x:v>
      </x:c>
      <x:c r="AR52" s="5">
        <x:v>95.596149999852074</x:v>
      </x:c>
      <x:c r="AS52" s="5">
        <x:f t="shared" si="2"/>
        <x:v>99.999999999999929</x:v>
      </x:c>
      <x:c r="AT52" s="5">
        <x:v>273.35114442581943</x:v>
      </x:c>
      <x:c r="AU52" s="5">
        <x:v>346.08316118627909</x:v>
      </x:c>
      <x:c r="AV52" s="5">
        <x:v>89.096978858474458</x:v>
      </x:c>
      <x:c r="AW52" s="2" t="b">
        <x:v>0</x:v>
      </x:c>
      <x:c r="AX52" s="2"/>
      <x:c r="AY52" s="2" t="s">
        <x:v>75</x:v>
      </x:c>
      <x:c r="AZ52" s="6">
        <x:v>50</x:v>
      </x:c>
      <x:c r="BA52" s="6"/>
      <x:c r="BB52" s="7"/>
      <x:c r="BC52" s="7"/>
      <x:c r="BD52" s="8"/>
      <x:c r="BE52" s="2" t="e">
        <x:f>IF(AE52="Blocked","No",IF(AJ52&lt;=[1]Model_Parameters!$B$20,"Yes","No"))</x:f>
        <x:v>#NAME?</x:v>
      </x:c>
      <x:c r="BF52" s="2" t="str">
        <x:f t="shared" si="3"/>
        <x:v>Yes</x:v>
      </x:c>
      <x:c r="BG52" s="2" t="str">
        <x:f t="shared" si="4"/>
        <x:v>Yes</x:v>
      </x:c>
      <x:c r="BH52" s="24"/>
      <x:c r="BI52" s="24"/>
    </x:row>
    <x:row r="53">
      <x:c r="A53" s="2" t="s">
        <x:v>59</x:v>
      </x:c>
      <x:c r="B53" s="3">
        <x:v>112</x:v>
      </x:c>
      <x:c r="C53" s="2" t="s">
        <x:v>266</x:v>
      </x:c>
      <x:c r="D53" s="2" t="s">
        <x:v>267</x:v>
      </x:c>
      <x:c r="E53" s="2" t="s">
        <x:v>71</x:v>
      </x:c>
      <x:c r="F53" s="2" t="s">
        <x:v>72</x:v>
      </x:c>
      <x:c r="G53" s="3">
        <x:v>47</x:v>
      </x:c>
      <x:c r="H53" s="3">
        <x:v>1</x:v>
      </x:c>
      <x:c r="I53" s="3">
        <x:v>130</x:v>
      </x:c>
      <x:c r="J53" s="4">
        <x:v>3.8064165307232202E-2</x:v>
      </x:c>
      <x:c r="K53" s="3">
        <x:v>0</x:v>
      </x:c>
      <x:c r="L53" s="2" t="s">
        <x:v>268</x:v>
      </x:c>
      <x:c r="M53" s="3">
        <x:v>760</x:v>
      </x:c>
      <x:c r="N53" s="3">
        <x:v>51</x:v>
      </x:c>
      <x:c r="O53" s="5">
        <x:v>68.966194190946169</x:v>
      </x:c>
      <x:c r="P53" s="5">
        <x:v>55.691280850687093</x:v>
      </x:c>
      <x:c r="Q53" s="5"/>
      <x:c r="R53" s="5">
        <x:v>76.251035233292072</x:v>
      </x:c>
      <x:c r="S53" s="5">
        <x:f t="shared" si="0"/>
        <x:v>14.179280132688916</x:v>
      </x:c>
      <x:c r="T53" s="5">
        <x:f t="shared" si="1"/>
        <x:v>14.179280132688916</x:v>
      </x:c>
      <x:c r="U53" s="5" t="e">
        <x:f>T53/[1]Model_Parameters!$B$22</x:f>
        <x:v>#NAME?</x:v>
      </x:c>
      <x:c r="V53" s="5">
        <x:v>147.89034589351601</x:v>
      </x:c>
      <x:c r="W53" s="5">
        <x:v>147.89034589351601</x:v>
      </x:c>
      <x:c r="X53" s="5">
        <x:v>92.850143802332255</x:v>
      </x:c>
      <x:c r="Y53" s="3">
        <x:v>2</x:v>
      </x:c>
      <x:c r="Z53" s="3">
        <x:v>0</x:v>
      </x:c>
      <x:c r="AA53" s="3"/>
      <x:c r="AB53" s="2"/>
      <x:c r="AC53" s="3"/>
      <x:c r="AD53" s="3"/>
      <x:c r="AE53" s="2" t="s">
        <x:v>65</x:v>
      </x:c>
      <x:c r="AF53" s="3">
        <x:v>8</x:v>
      </x:c>
      <x:c r="AG53" s="3">
        <x:v>0</x:v>
      </x:c>
      <x:c r="AH53" s="2" t="s">
        <x:v>268</x:v>
      </x:c>
      <x:c r="AI53" s="3">
        <x:v>51</x:v>
      </x:c>
      <x:c r="AJ53" s="3">
        <x:v>0</x:v>
      </x:c>
      <x:c r="AK53" s="2" t="s">
        <x:v>66</x:v>
      </x:c>
      <x:c r="AL53" s="3">
        <x:v>0</x:v>
      </x:c>
      <x:c r="AM53" s="2" t="s">
        <x:v>269</x:v>
      </x:c>
      <x:c r="AN53" s="3">
        <x:v>52</x:v>
      </x:c>
      <x:c r="AO53" s="3">
        <x:v>7</x:v>
      </x:c>
      <x:c r="AP53" s="3">
        <x:v>7</x:v>
      </x:c>
      <x:c r="AQ53" s="5">
        <x:v>15.27114504300074</x:v>
      </x:c>
      <x:c r="AR53" s="5">
        <x:v>14.17928013268892</x:v>
      </x:c>
      <x:c r="AS53" s="5">
        <x:f t="shared" si="2"/>
        <x:v>100.00000000000003</x:v>
      </x:c>
      <x:c r="AT53" s="5">
        <x:v>130.8955289400063</x:v>
      </x:c>
      <x:c r="AU53" s="5">
        <x:v>147.89034589351601</x:v>
      </x:c>
      <x:c r="AV53" s="5">
        <x:v>76.251035233292072</x:v>
      </x:c>
      <x:c r="AW53" s="2" t="b">
        <x:v>0</x:v>
      </x:c>
      <x:c r="AX53" s="2"/>
      <x:c r="AY53" s="2" t="s">
        <x:v>75</x:v>
      </x:c>
      <x:c r="AZ53" s="6">
        <x:v>51</x:v>
      </x:c>
      <x:c r="BA53" s="6"/>
      <x:c r="BB53" s="7"/>
      <x:c r="BC53" s="7"/>
      <x:c r="BD53" s="8"/>
      <x:c r="BE53" s="2" t="e">
        <x:f>IF(AE53="Blocked","No",IF(AJ53&lt;=[1]Model_Parameters!$B$20,"Yes","No"))</x:f>
        <x:v>#NAME?</x:v>
      </x:c>
      <x:c r="BF53" s="2" t="str">
        <x:f t="shared" si="3"/>
        <x:v>Yes</x:v>
      </x:c>
      <x:c r="BG53" s="2" t="str">
        <x:f t="shared" si="4"/>
        <x:v>Yes</x:v>
      </x:c>
      <x:c r="BH53" s="24"/>
      <x:c r="BI53" s="24"/>
    </x:row>
    <x:row r="54">
      <x:c r="A54" s="2" t="s">
        <x:v>59</x:v>
      </x:c>
      <x:c r="B54" s="3">
        <x:v>113</x:v>
      </x:c>
      <x:c r="C54" s="2" t="s">
        <x:v>270</x:v>
      </x:c>
      <x:c r="D54" s="2" t="s">
        <x:v>271</x:v>
      </x:c>
      <x:c r="E54" s="2" t="s">
        <x:v>71</x:v>
      </x:c>
      <x:c r="F54" s="2" t="s">
        <x:v>72</x:v>
      </x:c>
      <x:c r="G54" s="3">
        <x:v>48</x:v>
      </x:c>
      <x:c r="H54" s="3">
        <x:v>1</x:v>
      </x:c>
      <x:c r="I54" s="3">
        <x:v>130</x:v>
      </x:c>
      <x:c r="J54" s="4">
        <x:v>3.8064165307232202E-2</x:v>
      </x:c>
      <x:c r="K54" s="3">
        <x:v>0</x:v>
      </x:c>
      <x:c r="L54" s="2" t="s">
        <x:v>272</x:v>
      </x:c>
      <x:c r="M54" s="3">
        <x:v>764</x:v>
      </x:c>
      <x:c r="N54" s="3">
        <x:v>51</x:v>
      </x:c>
      <x:c r="O54" s="5">
        <x:v>74.115162608128045</x:v>
      </x:c>
      <x:c r="P54" s="5">
        <x:v>42.75021964000878</x:v>
      </x:c>
      <x:c r="Q54" s="5"/>
      <x:c r="R54" s="5">
        <x:v>85.679671788725571</x:v>
      </x:c>
      <x:c r="S54" s="5">
        <x:f t="shared" si="0"/>
        <x:v>31.817233266799967</x:v>
      </x:c>
      <x:c r="T54" s="5">
        <x:f t="shared" si="1"/>
        <x:v>31.817233266799967</x:v>
      </x:c>
      <x:c r="U54" s="5" t="e">
        <x:f>T54/[1]Model_Parameters!$B$22</x:f>
        <x:v>#NAME?</x:v>
      </x:c>
      <x:c r="V54" s="5">
        <x:v>205.52916494505911</x:v>
      </x:c>
      <x:c r="W54" s="5">
        <x:v>205.52916494505911</x:v>
      </x:c>
      <x:c r="X54" s="5">
        <x:v>90.524366408487239</x:v>
      </x:c>
      <x:c r="Y54" s="3">
        <x:v>3</x:v>
      </x:c>
      <x:c r="Z54" s="3">
        <x:v>0</x:v>
      </x:c>
      <x:c r="AA54" s="3"/>
      <x:c r="AB54" s="2"/>
      <x:c r="AC54" s="3"/>
      <x:c r="AD54" s="3"/>
      <x:c r="AE54" s="2" t="s">
        <x:v>65</x:v>
      </x:c>
      <x:c r="AF54" s="3">
        <x:v>9</x:v>
      </x:c>
      <x:c r="AG54" s="3">
        <x:v>0</x:v>
      </x:c>
      <x:c r="AH54" s="2" t="s">
        <x:v>272</x:v>
      </x:c>
      <x:c r="AI54" s="3">
        <x:v>51</x:v>
      </x:c>
      <x:c r="AJ54" s="3">
        <x:v>0</x:v>
      </x:c>
      <x:c r="AK54" s="2" t="s">
        <x:v>66</x:v>
      </x:c>
      <x:c r="AL54" s="3">
        <x:v>0</x:v>
      </x:c>
      <x:c r="AM54" s="2" t="s">
        <x:v>273</x:v>
      </x:c>
      <x:c r="AN54" s="3">
        <x:v>52</x:v>
      </x:c>
      <x:c r="AO54" s="3">
        <x:v>13</x:v>
      </x:c>
      <x:c r="AP54" s="3">
        <x:v>13</x:v>
      </x:c>
      <x:c r="AQ54" s="5">
        <x:v>35.14770059060794</x:v>
      </x:c>
      <x:c r="AR54" s="5">
        <x:v>31.81723326679997</x:v>
      </x:c>
      <x:c r="AS54" s="5">
        <x:f t="shared" si="2"/>
        <x:v>100.00000000000003</x:v>
      </x:c>
      <x:c r="AT54" s="5">
        <x:v>162.22015657203659</x:v>
      </x:c>
      <x:c r="AU54" s="5">
        <x:v>205.52916494505911</x:v>
      </x:c>
      <x:c r="AV54" s="5">
        <x:v>85.679671788725571</x:v>
      </x:c>
      <x:c r="AW54" s="2" t="b">
        <x:v>0</x:v>
      </x:c>
      <x:c r="AX54" s="2"/>
      <x:c r="AY54" s="2" t="s">
        <x:v>75</x:v>
      </x:c>
      <x:c r="AZ54" s="6">
        <x:v>51</x:v>
      </x:c>
      <x:c r="BA54" s="6"/>
      <x:c r="BB54" s="7"/>
      <x:c r="BC54" s="7"/>
      <x:c r="BD54" s="8"/>
      <x:c r="BE54" s="2" t="e">
        <x:f>IF(AE54="Blocked","No",IF(AJ54&lt;=[1]Model_Parameters!$B$20,"Yes","No"))</x:f>
        <x:v>#NAME?</x:v>
      </x:c>
      <x:c r="BF54" s="2" t="str">
        <x:f t="shared" si="3"/>
        <x:v>Yes</x:v>
      </x:c>
      <x:c r="BG54" s="2" t="str">
        <x:f t="shared" si="4"/>
        <x:v>Yes</x:v>
      </x:c>
      <x:c r="BH54" s="24"/>
      <x:c r="BI54" s="24"/>
    </x:row>
    <x:row r="55">
      <x:c r="A55" s="2" t="s">
        <x:v>59</x:v>
      </x:c>
      <x:c r="B55" s="3">
        <x:v>116</x:v>
      </x:c>
      <x:c r="C55" s="2" t="s">
        <x:v>274</x:v>
      </x:c>
      <x:c r="D55" s="2" t="s">
        <x:v>275</x:v>
      </x:c>
      <x:c r="E55" s="2" t="s">
        <x:v>62</x:v>
      </x:c>
      <x:c r="F55" s="2" t="s">
        <x:v>63</x:v>
      </x:c>
      <x:c r="G55" s="3">
        <x:v>6</x:v>
      </x:c>
      <x:c r="H55" s="3">
        <x:v>1</x:v>
      </x:c>
      <x:c r="I55" s="3">
        <x:v>20</x:v>
      </x:c>
      <x:c r="J55" s="4">
        <x:v>3.60082304526749E-2</x:v>
      </x:c>
      <x:c r="K55" s="3">
        <x:v>0</x:v>
      </x:c>
      <x:c r="L55" s="2" t="s">
        <x:v>276</x:v>
      </x:c>
      <x:c r="M55" s="3">
        <x:v>820</x:v>
      </x:c>
      <x:c r="N55" s="3">
        <x:v>55</x:v>
      </x:c>
      <x:c r="O55" s="5">
        <x:v>195.76357531839321</x:v>
      </x:c>
      <x:c r="P55" s="5">
        <x:v>8.080731141719772</x:v>
      </x:c>
      <x:c r="Q55" s="5"/>
      <x:c r="R55" s="5">
        <x:v>96.238031028268949</x:v>
      </x:c>
      <x:c r="S55" s="5">
        <x:f t="shared" si="0"/>
        <x:v>172.5798821620665</x:v>
      </x:c>
      <x:c r="T55" s="5">
        <x:f t="shared" si="1"/>
        <x:v>172.5798821620665</x:v>
      </x:c>
      <x:c r="U55" s="5" t="e">
        <x:f>T55/[1]Model_Parameters!$B$22</x:f>
        <x:v>#NAME?</x:v>
      </x:c>
      <x:c r="V55" s="5">
        <x:v>124.2748067094675</x:v>
      </x:c>
      <x:c r="W55" s="5">
        <x:v>124.2748067094675</x:v>
      </x:c>
      <x:c r="X55" s="5">
        <x:v>90.29533780275068</x:v>
      </x:c>
      <x:c r="Y55" s="3">
        <x:v>0</x:v>
      </x:c>
      <x:c r="Z55" s="3">
        <x:v>0</x:v>
      </x:c>
      <x:c r="AA55" s="3"/>
      <x:c r="AB55" s="2"/>
      <x:c r="AC55" s="3"/>
      <x:c r="AD55" s="3"/>
      <x:c r="AE55" s="2" t="s">
        <x:v>65</x:v>
      </x:c>
      <x:c r="AF55" s="3">
        <x:v>2</x:v>
      </x:c>
      <x:c r="AG55" s="3">
        <x:v>0</x:v>
      </x:c>
      <x:c r="AH55" s="2" t="s">
        <x:v>276</x:v>
      </x:c>
      <x:c r="AI55" s="3">
        <x:v>55</x:v>
      </x:c>
      <x:c r="AJ55" s="3">
        <x:v>0</x:v>
      </x:c>
      <x:c r="AK55" s="2" t="s">
        <x:v>66</x:v>
      </x:c>
      <x:c r="AL55" s="3">
        <x:v>0</x:v>
      </x:c>
      <x:c r="AM55" s="2" t="s">
        <x:v>277</x:v>
      </x:c>
      <x:c r="AN55" s="3">
        <x:v>63</x:v>
      </x:c>
      <x:c r="AO55" s="3">
        <x:v>120</x:v>
      </x:c>
      <x:c r="AP55" s="3">
        <x:v>120</x:v>
      </x:c>
      <x:c r="AQ55" s="5">
        <x:v>191.12823138118779</x:v>
      </x:c>
      <x:c r="AR55" s="5">
        <x:v>172.57988216206601</x:v>
      </x:c>
      <x:c r="AS55" s="5">
        <x:f t="shared" si="2"/>
        <x:v>99.999999999999716</x:v>
      </x:c>
      <x:c r="AT55" s="5">
        <x:v>95.564115690593923</x:v>
      </x:c>
      <x:c r="AU55" s="5">
        <x:v>124.2748067094675</x:v>
      </x:c>
      <x:c r="AV55" s="5">
        <x:v>96.238031028268949</x:v>
      </x:c>
      <x:c r="AW55" s="2" t="b">
        <x:v>0</x:v>
      </x:c>
      <x:c r="AX55" s="2"/>
      <x:c r="AY55" s="2" t="s">
        <x:v>68</x:v>
      </x:c>
      <x:c r="AZ55" s="6">
        <x:v>55</x:v>
      </x:c>
      <x:c r="BA55" s="6"/>
      <x:c r="BB55" s="7"/>
      <x:c r="BC55" s="7"/>
      <x:c r="BD55" s="8"/>
      <x:c r="BE55" s="2" t="e">
        <x:f>IF(AE55="Blocked","No",IF(AJ55&lt;=[1]Model_Parameters!$B$20,"Yes","No"))</x:f>
        <x:v>#NAME?</x:v>
      </x:c>
      <x:c r="BF55" s="2" t="str">
        <x:f t="shared" si="3"/>
        <x:v>Yes</x:v>
      </x:c>
      <x:c r="BG55" s="2" t="str">
        <x:f t="shared" si="4"/>
        <x:v>Yes</x:v>
      </x:c>
      <x:c r="BH55" s="24"/>
      <x:c r="BI55" s="24"/>
    </x:row>
    <x:row r="56">
      <x:c r="A56" s="2" t="s">
        <x:v>59</x:v>
      </x:c>
      <x:c r="B56" s="3">
        <x:v>121</x:v>
      </x:c>
      <x:c r="C56" s="2" t="s">
        <x:v>278</x:v>
      </x:c>
      <x:c r="D56" s="2" t="s">
        <x:v>279</x:v>
      </x:c>
      <x:c r="E56" s="2" t="s">
        <x:v>71</x:v>
      </x:c>
      <x:c r="F56" s="2" t="s">
        <x:v>72</x:v>
      </x:c>
      <x:c r="G56" s="3">
        <x:v>49</x:v>
      </x:c>
      <x:c r="H56" s="3">
        <x:v>1</x:v>
      </x:c>
      <x:c r="I56" s="3">
        <x:v>130</x:v>
      </x:c>
      <x:c r="J56" s="4">
        <x:v>1.3050570962479611E-2</x:v>
      </x:c>
      <x:c r="K56" s="3">
        <x:v>0</x:v>
      </x:c>
      <x:c r="L56" s="2" t="s">
        <x:v>280</x:v>
      </x:c>
      <x:c r="M56" s="3">
        <x:v>862</x:v>
      </x:c>
      <x:c r="N56" s="3">
        <x:v>58</x:v>
      </x:c>
      <x:c r="O56" s="5">
        <x:v>68.873280728668306</x:v>
      </x:c>
      <x:c r="P56" s="5">
        <x:v>25.919911926895221</x:v>
      </x:c>
      <x:c r="Q56" s="5"/>
      <x:c r="R56" s="5">
        <x:v>82.203491153050351</x:v>
      </x:c>
      <x:c r="S56" s="5">
        <x:f t="shared" si="0"/>
        <x:v>38.764347524572258</x:v>
      </x:c>
      <x:c r="T56" s="5">
        <x:f t="shared" si="1"/>
        <x:v>38.764347524572258</x:v>
      </x:c>
      <x:c r="U56" s="5" t="e">
        <x:f>T56/[1]Model_Parameters!$B$22</x:f>
        <x:v>#NAME?</x:v>
      </x:c>
      <x:c r="V56" s="5">
        <x:v>398.06169757057938</x:v>
      </x:c>
      <x:c r="W56" s="5">
        <x:v>398.06169757057938</x:v>
      </x:c>
      <x:c r="X56" s="5">
        <x:v>91.133800759660659</x:v>
      </x:c>
      <x:c r="Y56" s="3">
        <x:v>2</x:v>
      </x:c>
      <x:c r="Z56" s="3">
        <x:v>0</x:v>
      </x:c>
      <x:c r="AA56" s="3"/>
      <x:c r="AB56" s="2"/>
      <x:c r="AC56" s="3"/>
      <x:c r="AD56" s="3"/>
      <x:c r="AE56" s="2" t="s">
        <x:v>65</x:v>
      </x:c>
      <x:c r="AF56" s="3">
        <x:v>7</x:v>
      </x:c>
      <x:c r="AG56" s="3">
        <x:v>0</x:v>
      </x:c>
      <x:c r="AH56" s="2" t="s">
        <x:v>280</x:v>
      </x:c>
      <x:c r="AI56" s="3">
        <x:v>58</x:v>
      </x:c>
      <x:c r="AJ56" s="3">
        <x:v>0</x:v>
      </x:c>
      <x:c r="AK56" s="2" t="s">
        <x:v>66</x:v>
      </x:c>
      <x:c r="AL56" s="3">
        <x:v>0</x:v>
      </x:c>
      <x:c r="AM56" s="2" t="s">
        <x:v>281</x:v>
      </x:c>
      <x:c r="AN56" s="3">
        <x:v>58</x:v>
      </x:c>
      <x:c r="AO56" s="3">
        <x:v>7</x:v>
      </x:c>
      <x:c r="AP56" s="3">
        <x:v>7</x:v>
      </x:c>
      <x:c r="AQ56" s="5">
        <x:v>42.535642320901488</x:v>
      </x:c>
      <x:c r="AR56" s="5">
        <x:v>38.764347524572258</x:v>
      </x:c>
      <x:c r="AS56" s="5">
        <x:f t="shared" si="2"/>
        <x:v>100</x:v>
      </x:c>
      <x:c r="AT56" s="5">
        <x:v>364.59121989344141</x:v>
      </x:c>
      <x:c r="AU56" s="5">
        <x:v>398.06169757057938</x:v>
      </x:c>
      <x:c r="AV56" s="5">
        <x:v>82.203491153050351</x:v>
      </x:c>
      <x:c r="AW56" s="2" t="b">
        <x:v>0</x:v>
      </x:c>
      <x:c r="AX56" s="2"/>
      <x:c r="AY56" s="2" t="s">
        <x:v>75</x:v>
      </x:c>
      <x:c r="AZ56" s="6">
        <x:v>58</x:v>
      </x:c>
      <x:c r="BA56" s="6"/>
      <x:c r="BB56" s="7"/>
      <x:c r="BC56" s="7"/>
      <x:c r="BD56" s="8"/>
      <x:c r="BE56" s="2" t="e">
        <x:f>IF(AE56="Blocked","No",IF(AJ56&lt;=[1]Model_Parameters!$B$20,"Yes","No"))</x:f>
        <x:v>#NAME?</x:v>
      </x:c>
      <x:c r="BF56" s="2" t="str">
        <x:f t="shared" si="3"/>
        <x:v>Yes</x:v>
      </x:c>
      <x:c r="BG56" s="2" t="str">
        <x:f t="shared" si="4"/>
        <x:v>Yes</x:v>
      </x:c>
      <x:c r="BH56" s="24"/>
      <x:c r="BI56" s="24"/>
    </x:row>
    <x:row r="57">
      <x:c r="A57" s="2" t="s">
        <x:v>59</x:v>
      </x:c>
      <x:c r="B57" s="3">
        <x:v>122</x:v>
      </x:c>
      <x:c r="C57" s="2" t="s">
        <x:v>282</x:v>
      </x:c>
      <x:c r="D57" s="2" t="s">
        <x:v>283</x:v>
      </x:c>
      <x:c r="E57" s="2" t="s">
        <x:v>71</x:v>
      </x:c>
      <x:c r="F57" s="2" t="s">
        <x:v>72</x:v>
      </x:c>
      <x:c r="G57" s="3">
        <x:v>50</x:v>
      </x:c>
      <x:c r="H57" s="3">
        <x:v>1</x:v>
      </x:c>
      <x:c r="I57" s="3">
        <x:v>130</x:v>
      </x:c>
      <x:c r="J57" s="4">
        <x:v>1.3050570962479611E-2</x:v>
      </x:c>
      <x:c r="K57" s="3">
        <x:v>0</x:v>
      </x:c>
      <x:c r="L57" s="2" t="s">
        <x:v>284</x:v>
      </x:c>
      <x:c r="M57" s="3">
        <x:v>871</x:v>
      </x:c>
      <x:c r="N57" s="3">
        <x:v>59</x:v>
      </x:c>
      <x:c r="O57" s="5">
        <x:v>135.20703511100251</x:v>
      </x:c>
      <x:c r="P57" s="5">
        <x:v>34.950835246569433</x:v>
      </x:c>
      <x:c r="Q57" s="5"/>
      <x:c r="R57" s="5">
        <x:v>53.844301707827903</x:v>
      </x:c>
      <x:c r="S57" s="5">
        <x:f t="shared" si="0"/>
        <x:v>25.545295831959223</x:v>
      </x:c>
      <x:c r="T57" s="5">
        <x:f t="shared" si="1"/>
        <x:v>25.545295831959223</x:v>
      </x:c>
      <x:c r="U57" s="5" t="e">
        <x:f>T57/[1]Model_Parameters!$B$22</x:f>
        <x:v>#NAME?</x:v>
      </x:c>
      <x:c r="V57" s="5">
        <x:v>168.8259297321288</x:v>
      </x:c>
      <x:c r="W57" s="5">
        <x:v>168.8259297321288</x:v>
      </x:c>
      <x:c r="X57" s="5">
        <x:v>92.147808700049509</x:v>
      </x:c>
      <x:c r="Y57" s="3">
        <x:v>1</x:v>
      </x:c>
      <x:c r="Z57" s="3">
        <x:v>0</x:v>
      </x:c>
      <x:c r="AA57" s="3"/>
      <x:c r="AB57" s="2"/>
      <x:c r="AC57" s="3"/>
      <x:c r="AD57" s="3"/>
      <x:c r="AE57" s="2" t="s">
        <x:v>65</x:v>
      </x:c>
      <x:c r="AF57" s="3">
        <x:v>8</x:v>
      </x:c>
      <x:c r="AG57" s="3">
        <x:v>0</x:v>
      </x:c>
      <x:c r="AH57" s="2" t="s">
        <x:v>284</x:v>
      </x:c>
      <x:c r="AI57" s="3">
        <x:v>59</x:v>
      </x:c>
      <x:c r="AJ57" s="3">
        <x:v>0</x:v>
      </x:c>
      <x:c r="AK57" s="2" t="s">
        <x:v>66</x:v>
      </x:c>
      <x:c r="AL57" s="3">
        <x:v>0</x:v>
      </x:c>
      <x:c r="AM57" s="2" t="s">
        <x:v>285</x:v>
      </x:c>
      <x:c r="AN57" s="3">
        <x:v>59</x:v>
      </x:c>
      <x:c r="AO57" s="3">
        <x:v>10</x:v>
      </x:c>
      <x:c r="AP57" s="3">
        <x:v>10</x:v>
      </x:c>
      <x:c r="AQ57" s="5">
        <x:v>27.722087147087521</x:v>
      </x:c>
      <x:c r="AR57" s="5">
        <x:v>25.54529583195923</x:v>
      </x:c>
      <x:c r="AS57" s="5">
        <x:f t="shared" si="2"/>
        <x:v>100.00000000000003</x:v>
      </x:c>
      <x:c r="AT57" s="5">
        <x:v>166.3325228825251</x:v>
      </x:c>
      <x:c r="AU57" s="5">
        <x:v>168.8259297321288</x:v>
      </x:c>
      <x:c r="AV57" s="5">
        <x:v>53.844301707827903</x:v>
      </x:c>
      <x:c r="AW57" s="2" t="b">
        <x:v>0</x:v>
      </x:c>
      <x:c r="AX57" s="2"/>
      <x:c r="AY57" s="2" t="s">
        <x:v>75</x:v>
      </x:c>
      <x:c r="AZ57" s="6">
        <x:v>59</x:v>
      </x:c>
      <x:c r="BA57" s="6"/>
      <x:c r="BB57" s="7"/>
      <x:c r="BC57" s="7"/>
      <x:c r="BD57" s="8"/>
      <x:c r="BE57" s="2" t="e">
        <x:f>IF(AE57="Blocked","No",IF(AJ57&lt;=[1]Model_Parameters!$B$20,"Yes","No"))</x:f>
        <x:v>#NAME?</x:v>
      </x:c>
      <x:c r="BF57" s="2" t="str">
        <x:f t="shared" si="3"/>
        <x:v>Yes</x:v>
      </x:c>
      <x:c r="BG57" s="2" t="str">
        <x:f t="shared" si="4"/>
        <x:v>Yes</x:v>
      </x:c>
      <x:c r="BH57" s="24"/>
      <x:c r="BI57" s="24"/>
    </x:row>
    <x:row r="58">
      <x:c r="A58" s="2" t="s">
        <x:v>59</x:v>
      </x:c>
      <x:c r="B58" s="3">
        <x:v>123</x:v>
      </x:c>
      <x:c r="C58" s="2" t="s">
        <x:v>286</x:v>
      </x:c>
      <x:c r="D58" s="2" t="s">
        <x:v>287</x:v>
      </x:c>
      <x:c r="E58" s="2" t="s">
        <x:v>71</x:v>
      </x:c>
      <x:c r="F58" s="2" t="s">
        <x:v>72</x:v>
      </x:c>
      <x:c r="G58" s="3">
        <x:v>51</x:v>
      </x:c>
      <x:c r="H58" s="3">
        <x:v>1</x:v>
      </x:c>
      <x:c r="I58" s="3">
        <x:v>130</x:v>
      </x:c>
      <x:c r="J58" s="4">
        <x:v>8.7003806416530733E-3</x:v>
      </x:c>
      <x:c r="K58" s="3">
        <x:v>0</x:v>
      </x:c>
      <x:c r="L58" s="2" t="s">
        <x:v>288</x:v>
      </x:c>
      <x:c r="M58" s="3">
        <x:v>906</x:v>
      </x:c>
      <x:c r="N58" s="3">
        <x:v>61</x:v>
      </x:c>
      <x:c r="O58" s="5">
        <x:v>146.36975478118549</x:v>
      </x:c>
      <x:c r="P58" s="5">
        <x:v>38.663683940613581</x:v>
      </x:c>
      <x:c r="Q58" s="5"/>
      <x:c r="R58" s="5">
        <x:v>90.584189818108669</x:v>
      </x:c>
      <x:c r="S58" s="5">
        <x:f t="shared" si="0"/>
        <x:v>75.995917134040567</x:v>
      </x:c>
      <x:c r="T58" s="5">
        <x:f t="shared" si="1"/>
        <x:v>75.995917134040567</x:v>
      </x:c>
      <x:c r="U58" s="5" t="e">
        <x:f>T58/[1]Model_Parameters!$B$22</x:f>
        <x:v>#NAME?</x:v>
      </x:c>
      <x:c r="V58" s="5">
        <x:v>434.48351005424189</x:v>
      </x:c>
      <x:c r="W58" s="5">
        <x:v>434.48351005424189</x:v>
      </x:c>
      <x:c r="X58" s="5">
        <x:v>93.540042408946974</x:v>
      </x:c>
      <x:c r="Y58" s="3">
        <x:v>1</x:v>
      </x:c>
      <x:c r="Z58" s="3">
        <x:v>0</x:v>
      </x:c>
      <x:c r="AA58" s="3"/>
      <x:c r="AB58" s="2"/>
      <x:c r="AC58" s="3"/>
      <x:c r="AD58" s="3"/>
      <x:c r="AE58" s="2" t="s">
        <x:v>65</x:v>
      </x:c>
      <x:c r="AF58" s="3">
        <x:v>9</x:v>
      </x:c>
      <x:c r="AG58" s="3">
        <x:v>0</x:v>
      </x:c>
      <x:c r="AH58" s="2" t="s">
        <x:v>288</x:v>
      </x:c>
      <x:c r="AI58" s="3">
        <x:v>61</x:v>
      </x:c>
      <x:c r="AJ58" s="3">
        <x:v>0</x:v>
      </x:c>
      <x:c r="AK58" s="2" t="s">
        <x:v>66</x:v>
      </x:c>
      <x:c r="AL58" s="3">
        <x:v>0</x:v>
      </x:c>
      <x:c r="AM58" s="2" t="s">
        <x:v>289</x:v>
      </x:c>
      <x:c r="AN58" s="3">
        <x:v>62</x:v>
      </x:c>
      <x:c r="AO58" s="3">
        <x:v>16</x:v>
      </x:c>
      <x:c r="AP58" s="3">
        <x:v>16</x:v>
      </x:c>
      <x:c r="AQ58" s="5">
        <x:v>81.244262004708716</x:v>
      </x:c>
      <x:c r="AR58" s="5">
        <x:v>75.995917134040553</x:v>
      </x:c>
      <x:c r="AS58" s="5">
        <x:f t="shared" si="2"/>
        <x:v>99.999999999999972</x:v>
      </x:c>
      <x:c r="AT58" s="5">
        <x:v>304.66598251765771</x:v>
      </x:c>
      <x:c r="AU58" s="5">
        <x:v>434.48351005424189</x:v>
      </x:c>
      <x:c r="AV58" s="5">
        <x:v>90.584189818108669</x:v>
      </x:c>
      <x:c r="AW58" s="2" t="b">
        <x:v>0</x:v>
      </x:c>
      <x:c r="AX58" s="2"/>
      <x:c r="AY58" s="2" t="s">
        <x:v>75</x:v>
      </x:c>
      <x:c r="AZ58" s="6">
        <x:v>61</x:v>
      </x:c>
      <x:c r="BA58" s="6"/>
      <x:c r="BB58" s="7"/>
      <x:c r="BC58" s="7"/>
      <x:c r="BD58" s="8"/>
      <x:c r="BE58" s="2" t="e">
        <x:f>IF(AE58="Blocked","No",IF(AJ58&lt;=[1]Model_Parameters!$B$20,"Yes","No"))</x:f>
        <x:v>#NAME?</x:v>
      </x:c>
      <x:c r="BF58" s="2" t="str">
        <x:f t="shared" si="3"/>
        <x:v>Yes</x:v>
      </x:c>
      <x:c r="BG58" s="2" t="str">
        <x:f t="shared" si="4"/>
        <x:v>Yes</x:v>
      </x:c>
      <x:c r="BH58" s="24"/>
      <x:c r="BI58" s="24"/>
    </x:row>
    <x:row r="59">
      <x:c r="A59" s="2" t="s">
        <x:v>59</x:v>
      </x:c>
      <x:c r="B59" s="3">
        <x:v>124</x:v>
      </x:c>
      <x:c r="C59" s="2" t="s">
        <x:v>290</x:v>
      </x:c>
      <x:c r="D59" s="2" t="s">
        <x:v>291</x:v>
      </x:c>
      <x:c r="E59" s="2" t="s">
        <x:v>62</x:v>
      </x:c>
      <x:c r="F59" s="2" t="s">
        <x:v>63</x:v>
      </x:c>
      <x:c r="G59" s="3">
        <x:v>7</x:v>
      </x:c>
      <x:c r="H59" s="3">
        <x:v>1</x:v>
      </x:c>
      <x:c r="I59" s="3">
        <x:v>20</x:v>
      </x:c>
      <x:c r="J59" s="4">
        <x:v>3.0864197530864199E-2</x:v>
      </x:c>
      <x:c r="K59" s="3">
        <x:v>0</x:v>
      </x:c>
      <x:c r="L59" s="2" t="s">
        <x:v>292</x:v>
      </x:c>
      <x:c r="M59" s="3">
        <x:v>965</x:v>
      </x:c>
      <x:c r="N59" s="3">
        <x:v>65</x:v>
      </x:c>
      <x:c r="O59" s="5">
        <x:v>101.4382504549984</x:v>
      </x:c>
      <x:c r="P59" s="5">
        <x:v>3.8390676691703138</x:v>
      </x:c>
      <x:c r="Q59" s="5"/>
      <x:c r="R59" s="5">
        <x:v>94.660956420438865</x:v>
      </x:c>
      <x:c r="S59" s="5">
        <x:f t="shared" si="0"/>
        <x:v>92.128134979471795</x:v>
      </x:c>
      <x:c r="T59" s="5">
        <x:f t="shared" si="1"/>
        <x:v>92.128134979471795</x:v>
      </x:c>
      <x:c r="U59" s="5" t="e">
        <x:f>T59/[1]Model_Parameters!$B$22</x:f>
        <x:v>#NAME?</x:v>
      </x:c>
      <x:c r="V59" s="5">
        <x:v>395.45614499332481</x:v>
      </x:c>
      <x:c r="W59" s="5">
        <x:v>395.45614499332481</x:v>
      </x:c>
      <x:c r="X59" s="5">
        <x:v>94.491549867411749</x:v>
      </x:c>
      <x:c r="Y59" s="3">
        <x:v>0</x:v>
      </x:c>
      <x:c r="Z59" s="3">
        <x:v>0</x:v>
      </x:c>
      <x:c r="AA59" s="3"/>
      <x:c r="AB59" s="2"/>
      <x:c r="AC59" s="3"/>
      <x:c r="AD59" s="3"/>
      <x:c r="AE59" s="2" t="s">
        <x:v>65</x:v>
      </x:c>
      <x:c r="AF59" s="3">
        <x:v>10</x:v>
      </x:c>
      <x:c r="AG59" s="3">
        <x:v>0</x:v>
      </x:c>
      <x:c r="AH59" s="2" t="s">
        <x:v>292</x:v>
      </x:c>
      <x:c r="AI59" s="3">
        <x:v>65</x:v>
      </x:c>
      <x:c r="AJ59" s="3">
        <x:v>0</x:v>
      </x:c>
      <x:c r="AK59" s="2" t="s">
        <x:v>66</x:v>
      </x:c>
      <x:c r="AL59" s="3">
        <x:v>0</x:v>
      </x:c>
      <x:c r="AM59" s="2" t="s">
        <x:v>293</x:v>
      </x:c>
      <x:c r="AN59" s="3">
        <x:v>66</x:v>
      </x:c>
      <x:c r="AO59" s="3">
        <x:v>21</x:v>
      </x:c>
      <x:c r="AP59" s="3">
        <x:v>21</x:v>
      </x:c>
      <x:c r="AQ59" s="5">
        <x:v>97.498808209563506</x:v>
      </x:c>
      <x:c r="AR59" s="5">
        <x:v>92.128134979471852</x:v>
      </x:c>
      <x:c r="AS59" s="5">
        <x:f t="shared" si="2"/>
        <x:v>100.00000000000007</x:v>
      </x:c>
      <x:c r="AT59" s="5">
        <x:v>278.56802345589568</x:v>
      </x:c>
      <x:c r="AU59" s="5">
        <x:v>395.45614499332481</x:v>
      </x:c>
      <x:c r="AV59" s="5">
        <x:v>94.660956420438865</x:v>
      </x:c>
      <x:c r="AW59" s="2" t="b">
        <x:v>0</x:v>
      </x:c>
      <x:c r="AX59" s="2"/>
      <x:c r="AY59" s="2" t="s">
        <x:v>68</x:v>
      </x:c>
      <x:c r="AZ59" s="6">
        <x:v>65</x:v>
      </x:c>
      <x:c r="BA59" s="6"/>
      <x:c r="BB59" s="7"/>
      <x:c r="BC59" s="7"/>
      <x:c r="BD59" s="8"/>
      <x:c r="BE59" s="2" t="e">
        <x:f>IF(AE59="Blocked","No",IF(AJ59&lt;=[1]Model_Parameters!$B$20,"Yes","No"))</x:f>
        <x:v>#NAME?</x:v>
      </x:c>
      <x:c r="BF59" s="2" t="str">
        <x:f t="shared" si="3"/>
        <x:v>Yes</x:v>
      </x:c>
      <x:c r="BG59" s="2" t="str">
        <x:f t="shared" si="4"/>
        <x:v>Yes</x:v>
      </x:c>
      <x:c r="BH59" s="24"/>
      <x:c r="BI59" s="24"/>
    </x:row>
    <x:row r="60">
      <x:c r="A60" s="2" t="s">
        <x:v>59</x:v>
      </x:c>
      <x:c r="B60" s="3">
        <x:v>128</x:v>
      </x:c>
      <x:c r="C60" s="2" t="s">
        <x:v>294</x:v>
      </x:c>
      <x:c r="D60" s="2" t="s">
        <x:v>295</x:v>
      </x:c>
      <x:c r="E60" s="2" t="s">
        <x:v>71</x:v>
      </x:c>
      <x:c r="F60" s="2" t="s">
        <x:v>72</x:v>
      </x:c>
      <x:c r="G60" s="3">
        <x:v>52</x:v>
      </x:c>
      <x:c r="H60" s="3">
        <x:v>1</x:v>
      </x:c>
      <x:c r="I60" s="3">
        <x:v>130</x:v>
      </x:c>
      <x:c r="J60" s="4">
        <x:v>2.7188689505165859E-2</x:v>
      </x:c>
      <x:c r="K60" s="3">
        <x:v>0</x:v>
      </x:c>
      <x:c r="L60" s="2" t="s">
        <x:v>296</x:v>
      </x:c>
      <x:c r="M60" s="3">
        <x:v>1045</x:v>
      </x:c>
      <x:c r="N60" s="3">
        <x:v>70</x:v>
      </x:c>
      <x:c r="O60" s="5">
        <x:v>98.361614981301642</x:v>
      </x:c>
      <x:c r="P60" s="5">
        <x:v>16.382442384864799</x:v>
      </x:c>
      <x:c r="Q60" s="5"/>
      <x:c r="R60" s="5">
        <x:v>90.724624125012085</x:v>
      </x:c>
      <x:c r="S60" s="5">
        <x:f t="shared" si="0"/>
        <x:v>73.12417057194321</x:v>
      </x:c>
      <x:c r="T60" s="5">
        <x:f t="shared" si="1"/>
        <x:v>73.12417057194321</x:v>
      </x:c>
      <x:c r="U60" s="5" t="e">
        <x:f>T60/[1]Model_Parameters!$B$22</x:f>
        <x:v>#NAME?</x:v>
      </x:c>
      <x:c r="V60" s="5">
        <x:v>278.07631018504748</x:v>
      </x:c>
      <x:c r="W60" s="5">
        <x:v>278.07631018504748</x:v>
      </x:c>
      <x:c r="X60" s="5">
        <x:v>90.395216113860783</x:v>
      </x:c>
      <x:c r="Y60" s="3">
        <x:v>2</x:v>
      </x:c>
      <x:c r="Z60" s="3">
        <x:v>0</x:v>
      </x:c>
      <x:c r="AA60" s="3"/>
      <x:c r="AB60" s="2"/>
      <x:c r="AC60" s="3"/>
      <x:c r="AD60" s="3"/>
      <x:c r="AE60" s="2" t="s">
        <x:v>65</x:v>
      </x:c>
      <x:c r="AF60" s="3">
        <x:v>4</x:v>
      </x:c>
      <x:c r="AG60" s="3">
        <x:v>0</x:v>
      </x:c>
      <x:c r="AH60" s="2" t="s">
        <x:v>296</x:v>
      </x:c>
      <x:c r="AI60" s="3">
        <x:v>70</x:v>
      </x:c>
      <x:c r="AJ60" s="3">
        <x:v>0</x:v>
      </x:c>
      <x:c r="AK60" s="2" t="s">
        <x:v>66</x:v>
      </x:c>
      <x:c r="AL60" s="3">
        <x:v>0</x:v>
      </x:c>
      <x:c r="AM60" s="2" t="s">
        <x:v>297</x:v>
      </x:c>
      <x:c r="AN60" s="3">
        <x:v>72</x:v>
      </x:c>
      <x:c r="AO60" s="3">
        <x:v>23</x:v>
      </x:c>
      <x:c r="AP60" s="3">
        <x:v>23</x:v>
      </x:c>
      <x:c r="AQ60" s="5">
        <x:v>80.893850046043141</x:v>
      </x:c>
      <x:c r="AR60" s="5">
        <x:v>73.124170571943182</x:v>
      </x:c>
      <x:c r="AS60" s="5">
        <x:f t="shared" si="2"/>
        <x:v>99.999999999999957</x:v>
      </x:c>
      <x:c r="AT60" s="5">
        <x:v>211.02743490272121</x:v>
      </x:c>
      <x:c r="AU60" s="5">
        <x:v>278.07631018504748</x:v>
      </x:c>
      <x:c r="AV60" s="5">
        <x:v>90.724624125012085</x:v>
      </x:c>
      <x:c r="AW60" s="2" t="b">
        <x:v>0</x:v>
      </x:c>
      <x:c r="AX60" s="2"/>
      <x:c r="AY60" s="2" t="s">
        <x:v>75</x:v>
      </x:c>
      <x:c r="AZ60" s="6">
        <x:v>70</x:v>
      </x:c>
      <x:c r="BA60" s="6"/>
      <x:c r="BB60" s="7"/>
      <x:c r="BC60" s="7"/>
      <x:c r="BD60" s="8"/>
      <x:c r="BE60" s="2" t="e">
        <x:f>IF(AE60="Blocked","No",IF(AJ60&lt;=[1]Model_Parameters!$B$20,"Yes","No"))</x:f>
        <x:v>#NAME?</x:v>
      </x:c>
      <x:c r="BF60" s="2" t="str">
        <x:f t="shared" si="3"/>
        <x:v>Yes</x:v>
      </x:c>
      <x:c r="BG60" s="2" t="str">
        <x:f t="shared" si="4"/>
        <x:v>Yes</x:v>
      </x:c>
      <x:c r="BH60" s="24"/>
      <x:c r="BI60" s="24"/>
    </x:row>
    <x:row r="61">
      <x:c r="A61" s="2" t="s">
        <x:v>59</x:v>
      </x:c>
      <x:c r="B61" s="3">
        <x:v>130</x:v>
      </x:c>
      <x:c r="C61" s="2" t="s">
        <x:v>298</x:v>
      </x:c>
      <x:c r="D61" s="2" t="s">
        <x:v>299</x:v>
      </x:c>
      <x:c r="E61" s="2" t="s">
        <x:v>71</x:v>
      </x:c>
      <x:c r="F61" s="2" t="s">
        <x:v>72</x:v>
      </x:c>
      <x:c r="G61" s="3">
        <x:v>53</x:v>
      </x:c>
      <x:c r="H61" s="3">
        <x:v>1</x:v>
      </x:c>
      <x:c r="I61" s="3">
        <x:v>130</x:v>
      </x:c>
      <x:c r="J61" s="4">
        <x:v>2.7188689505165859E-2</x:v>
      </x:c>
      <x:c r="K61" s="3">
        <x:v>0</x:v>
      </x:c>
      <x:c r="L61" s="2" t="s">
        <x:v>297</x:v>
      </x:c>
      <x:c r="M61" s="3">
        <x:v>1068</x:v>
      </x:c>
      <x:c r="N61" s="3">
        <x:v>72</x:v>
      </x:c>
      <x:c r="O61" s="5">
        <x:v>90.477932045375084</x:v>
      </x:c>
      <x:c r="P61" s="5">
        <x:v>51.434798974591438</x:v>
      </x:c>
      <x:c r="Q61" s="5"/>
      <x:c r="R61" s="5">
        <x:v>66.639738486235117</x:v>
      </x:c>
      <x:c r="S61" s="5">
        <x:f t="shared" si="0"/>
        <x:v>13.757114838885354</x:v>
      </x:c>
      <x:c r="T61" s="5">
        <x:f t="shared" si="1"/>
        <x:v>13.757114838885354</x:v>
      </x:c>
      <x:c r="U61" s="5" t="e">
        <x:f>T61/[1]Model_Parameters!$B$22</x:f>
        <x:v>#NAME?</x:v>
      </x:c>
      <x:c r="V61" s="5">
        <x:v>443.37875874506551</x:v>
      </x:c>
      <x:c r="W61" s="5">
        <x:v>443.37875874506551</x:v>
      </x:c>
      <x:c r="X61" s="5">
        <x:v>90.845539314076916</x:v>
      </x:c>
      <x:c r="Y61" s="3">
        <x:v>1</x:v>
      </x:c>
      <x:c r="Z61" s="3">
        <x:v>0</x:v>
      </x:c>
      <x:c r="AA61" s="3"/>
      <x:c r="AB61" s="2"/>
      <x:c r="AC61" s="3"/>
      <x:c r="AD61" s="3"/>
      <x:c r="AE61" s="2" t="s">
        <x:v>65</x:v>
      </x:c>
      <x:c r="AF61" s="3">
        <x:v>6</x:v>
      </x:c>
      <x:c r="AG61" s="3">
        <x:v>0</x:v>
      </x:c>
      <x:c r="AH61" s="2" t="s">
        <x:v>297</x:v>
      </x:c>
      <x:c r="AI61" s="3">
        <x:v>72</x:v>
      </x:c>
      <x:c r="AJ61" s="3">
        <x:v>0</x:v>
      </x:c>
      <x:c r="AK61" s="2" t="s">
        <x:v>66</x:v>
      </x:c>
      <x:c r="AL61" s="3">
        <x:v>0</x:v>
      </x:c>
      <x:c r="AM61" s="2" t="s">
        <x:v>300</x:v>
      </x:c>
      <x:c r="AN61" s="3">
        <x:v>72</x:v>
      </x:c>
      <x:c r="AO61" s="3">
        <x:v>3</x:v>
      </x:c>
      <x:c r="AP61" s="3">
        <x:v>3</x:v>
      </x:c>
      <x:c r="AQ61" s="5">
        <x:v>15.143412591039169</x:v>
      </x:c>
      <x:c r="AR61" s="5">
        <x:v>13.757114838885361</x:v>
      </x:c>
      <x:c r="AS61" s="5">
        <x:f t="shared" si="2"/>
        <x:v>100.00000000000004</x:v>
      </x:c>
      <x:c r="AT61" s="5">
        <x:v>302.86825182078331</x:v>
      </x:c>
      <x:c r="AU61" s="5">
        <x:v>443.37875874506551</x:v>
      </x:c>
      <x:c r="AV61" s="5">
        <x:v>66.639738486235117</x:v>
      </x:c>
      <x:c r="AW61" s="2" t="b">
        <x:v>0</x:v>
      </x:c>
      <x:c r="AX61" s="2"/>
      <x:c r="AY61" s="2" t="s">
        <x:v>75</x:v>
      </x:c>
      <x:c r="AZ61" s="6">
        <x:v>72</x:v>
      </x:c>
      <x:c r="BA61" s="6"/>
      <x:c r="BB61" s="7"/>
      <x:c r="BC61" s="7"/>
      <x:c r="BD61" s="8"/>
      <x:c r="BE61" s="2" t="e">
        <x:f>IF(AE61="Blocked","No",IF(AJ61&lt;=[1]Model_Parameters!$B$20,"Yes","No"))</x:f>
        <x:v>#NAME?</x:v>
      </x:c>
      <x:c r="BF61" s="2" t="str">
        <x:f t="shared" si="3"/>
        <x:v>Yes</x:v>
      </x:c>
      <x:c r="BG61" s="2" t="str">
        <x:f t="shared" si="4"/>
        <x:v>Yes</x:v>
      </x:c>
      <x:c r="BH61" s="24"/>
      <x:c r="BI61" s="24"/>
    </x:row>
    <x:row r="62">
      <x:c r="A62" s="2" t="s">
        <x:v>59</x:v>
      </x:c>
      <x:c r="B62" s="3">
        <x:v>132</x:v>
      </x:c>
      <x:c r="C62" s="2" t="s">
        <x:v>301</x:v>
      </x:c>
      <x:c r="D62" s="2" t="s">
        <x:v>302</x:v>
      </x:c>
      <x:c r="E62" s="2" t="s">
        <x:v>62</x:v>
      </x:c>
      <x:c r="F62" s="2" t="s">
        <x:v>63</x:v>
      </x:c>
      <x:c r="G62" s="3">
        <x:v>8</x:v>
      </x:c>
      <x:c r="H62" s="3">
        <x:v>1</x:v>
      </x:c>
      <x:c r="I62" s="3">
        <x:v>20</x:v>
      </x:c>
      <x:c r="J62" s="4">
        <x:v>3.292181069958848E-2</x:v>
      </x:c>
      <x:c r="K62" s="3">
        <x:v>0</x:v>
      </x:c>
      <x:c r="L62" s="2" t="s">
        <x:v>303</x:v>
      </x:c>
      <x:c r="M62" s="3">
        <x:v>1078</x:v>
      </x:c>
      <x:c r="N62" s="3">
        <x:v>72</x:v>
      </x:c>
      <x:c r="O62" s="5">
        <x:v>212.24785906732819</x:v>
      </x:c>
      <x:c r="P62" s="5">
        <x:v>8.7946326136873587</x:v>
      </x:c>
      <x:c r="Q62" s="5"/>
      <x:c r="R62" s="5">
        <x:v>94.419127320519536</x:v>
      </x:c>
      <x:c r="S62" s="5">
        <x:f t="shared" si="0"/>
        <x:v>181.73615685246907</x:v>
      </x:c>
      <x:c r="T62" s="5">
        <x:f t="shared" si="1"/>
        <x:v>181.73615685246907</x:v>
      </x:c>
      <x:c r="U62" s="5" t="e">
        <x:f>T62/[1]Model_Parameters!$B$22</x:f>
        <x:v>#NAME?</x:v>
      </x:c>
      <x:c r="V62" s="5">
        <x:v>260.00294461271142</x:v>
      </x:c>
      <x:c r="W62" s="5">
        <x:v>260.00294461271142</x:v>
      </x:c>
      <x:c r="X62" s="5">
        <x:v>92.070296087281832</x:v>
      </x:c>
      <x:c r="Y62" s="3">
        <x:v>2</x:v>
      </x:c>
      <x:c r="Z62" s="3">
        <x:v>0</x:v>
      </x:c>
      <x:c r="AA62" s="3"/>
      <x:c r="AB62" s="2"/>
      <x:c r="AC62" s="3"/>
      <x:c r="AD62" s="3"/>
      <x:c r="AE62" s="2" t="s">
        <x:v>65</x:v>
      </x:c>
      <x:c r="AF62" s="3">
        <x:v>8</x:v>
      </x:c>
      <x:c r="AG62" s="3">
        <x:v>0</x:v>
      </x:c>
      <x:c r="AH62" s="2" t="s">
        <x:v>303</x:v>
      </x:c>
      <x:c r="AI62" s="3">
        <x:v>72</x:v>
      </x:c>
      <x:c r="AJ62" s="3">
        <x:v>0</x:v>
      </x:c>
      <x:c r="AK62" s="2" t="s">
        <x:v>66</x:v>
      </x:c>
      <x:c r="AL62" s="3">
        <x:v>0</x:v>
      </x:c>
      <x:c r="AM62" s="2" t="s">
        <x:v>304</x:v>
      </x:c>
      <x:c r="AN62" s="3">
        <x:v>77</x:v>
      </x:c>
      <x:c r="AO62" s="3">
        <x:v>66</x:v>
      </x:c>
      <x:c r="AP62" s="3">
        <x:v>66</x:v>
      </x:c>
      <x:c r="AQ62" s="5">
        <x:v>197.38847877732991</x:v>
      </x:c>
      <x:c r="AR62" s="5">
        <x:v>181.73615685246909</x:v>
      </x:c>
      <x:c r="AS62" s="5">
        <x:f t="shared" si="2"/>
        <x:v>100.00000000000003</x:v>
      </x:c>
      <x:c r="AT62" s="5">
        <x:v>179.44407161575441</x:v>
      </x:c>
      <x:c r="AU62" s="5">
        <x:v>260.00294461271142</x:v>
      </x:c>
      <x:c r="AV62" s="5">
        <x:v>94.419127320519536</x:v>
      </x:c>
      <x:c r="AW62" s="2" t="b">
        <x:v>0</x:v>
      </x:c>
      <x:c r="AX62" s="2"/>
      <x:c r="AY62" s="2" t="s">
        <x:v>68</x:v>
      </x:c>
      <x:c r="AZ62" s="6">
        <x:v>72</x:v>
      </x:c>
      <x:c r="BA62" s="6"/>
      <x:c r="BB62" s="7"/>
      <x:c r="BC62" s="7"/>
      <x:c r="BD62" s="8"/>
      <x:c r="BE62" s="2" t="e">
        <x:f>IF(AE62="Blocked","No",IF(AJ62&lt;=[1]Model_Parameters!$B$20,"Yes","No"))</x:f>
        <x:v>#NAME?</x:v>
      </x:c>
      <x:c r="BF62" s="2" t="str">
        <x:f t="shared" si="3"/>
        <x:v>Yes</x:v>
      </x:c>
      <x:c r="BG62" s="2" t="str">
        <x:f t="shared" si="4"/>
        <x:v>Yes</x:v>
      </x:c>
      <x:c r="BH62" s="24"/>
      <x:c r="BI62" s="24"/>
    </x:row>
    <x:row r="63">
      <x:c r="A63" s="2" t="s">
        <x:v>59</x:v>
      </x:c>
      <x:c r="B63" s="3">
        <x:v>137</x:v>
      </x:c>
      <x:c r="C63" s="2" t="s">
        <x:v>305</x:v>
      </x:c>
      <x:c r="D63" s="2" t="s">
        <x:v>306</x:v>
      </x:c>
      <x:c r="E63" s="2" t="s">
        <x:v>71</x:v>
      </x:c>
      <x:c r="F63" s="2" t="s">
        <x:v>72</x:v>
      </x:c>
      <x:c r="G63" s="3">
        <x:v>54</x:v>
      </x:c>
      <x:c r="H63" s="3">
        <x:v>1</x:v>
      </x:c>
      <x:c r="I63" s="3">
        <x:v>130</x:v>
      </x:c>
      <x:c r="J63" s="4">
        <x:v>6.5252854812398051E-2</x:v>
      </x:c>
      <x:c r="K63" s="3">
        <x:v>0</x:v>
      </x:c>
      <x:c r="L63" s="2" t="s">
        <x:v>307</x:v>
      </x:c>
      <x:c r="M63" s="3">
        <x:v>1095</x:v>
      </x:c>
      <x:c r="N63" s="3">
        <x:v>74</x:v>
      </x:c>
      <x:c r="O63" s="5">
        <x:v>109.2494687212024</x:v>
      </x:c>
      <x:c r="P63" s="5">
        <x:v>39.907070310996403</x:v>
      </x:c>
      <x:c r="Q63" s="5"/>
      <x:c r="R63" s="5">
        <x:v>58.787100728194822</x:v>
      </x:c>
      <x:c r="S63" s="5">
        <x:f t="shared" si="0"/>
        <x:v>20.626332925190685</x:v>
      </x:c>
      <x:c r="T63" s="5">
        <x:f t="shared" si="1"/>
        <x:v>20.626332925190685</x:v>
      </x:c>
      <x:c r="U63" s="5" t="e">
        <x:f>T63/[1]Model_Parameters!$B$22</x:f>
        <x:v>#NAME?</x:v>
      </x:c>
      <x:c r="V63" s="5">
        <x:v>438.78301030941299</x:v>
      </x:c>
      <x:c r="W63" s="5">
        <x:v>438.78301030941299</x:v>
      </x:c>
      <x:c r="X63" s="5">
        <x:v>90.289174422687978</x:v>
      </x:c>
      <x:c r="Y63" s="3">
        <x:v>5</x:v>
      </x:c>
      <x:c r="Z63" s="3">
        <x:v>0</x:v>
      </x:c>
      <x:c r="AA63" s="3"/>
      <x:c r="AB63" s="2"/>
      <x:c r="AC63" s="3"/>
      <x:c r="AD63" s="3"/>
      <x:c r="AE63" s="2" t="s">
        <x:v>65</x:v>
      </x:c>
      <x:c r="AF63" s="3">
        <x:v>3</x:v>
      </x:c>
      <x:c r="AG63" s="3">
        <x:v>0</x:v>
      </x:c>
      <x:c r="AH63" s="2" t="s">
        <x:v>307</x:v>
      </x:c>
      <x:c r="AI63" s="3">
        <x:v>74</x:v>
      </x:c>
      <x:c r="AJ63" s="3">
        <x:v>0</x:v>
      </x:c>
      <x:c r="AK63" s="2" t="s">
        <x:v>66</x:v>
      </x:c>
      <x:c r="AL63" s="3">
        <x:v>0</x:v>
      </x:c>
      <x:c r="AM63" s="2" t="s">
        <x:v>308</x:v>
      </x:c>
      <x:c r="AN63" s="3">
        <x:v>74</x:v>
      </x:c>
      <x:c r="AO63" s="3">
        <x:v>4</x:v>
      </x:c>
      <x:c r="AP63" s="3">
        <x:v>4</x:v>
      </x:c>
      <x:c r="AQ63" s="5">
        <x:v>22.844746401853971</x:v>
      </x:c>
      <x:c r="AR63" s="5">
        <x:v>20.62633292519067</x:v>
      </x:c>
      <x:c r="AS63" s="5">
        <x:f t="shared" si="2"/>
        <x:v>99.999999999999929</x:v>
      </x:c>
      <x:c r="AT63" s="5">
        <x:v>342.67119602780957</x:v>
      </x:c>
      <x:c r="AU63" s="5">
        <x:v>438.78301030941287</x:v>
      </x:c>
      <x:c r="AV63" s="5">
        <x:v>58.787100728194822</x:v>
      </x:c>
      <x:c r="AW63" s="2" t="b">
        <x:v>0</x:v>
      </x:c>
      <x:c r="AX63" s="2"/>
      <x:c r="AY63" s="2" t="s">
        <x:v>75</x:v>
      </x:c>
      <x:c r="AZ63" s="6">
        <x:v>74</x:v>
      </x:c>
      <x:c r="BA63" s="6"/>
      <x:c r="BB63" s="7"/>
      <x:c r="BC63" s="7"/>
      <x:c r="BD63" s="8"/>
      <x:c r="BE63" s="2" t="e">
        <x:f>IF(AE63="Blocked","No",IF(AJ63&lt;=[1]Model_Parameters!$B$20,"Yes","No"))</x:f>
        <x:v>#NAME?</x:v>
      </x:c>
      <x:c r="BF63" s="2" t="str">
        <x:f t="shared" si="3"/>
        <x:v>Yes</x:v>
      </x:c>
      <x:c r="BG63" s="2" t="str">
        <x:f t="shared" si="4"/>
        <x:v>Yes</x:v>
      </x:c>
      <x:c r="BH63" s="24"/>
      <x:c r="BI63" s="24"/>
    </x:row>
    <x:row r="64">
      <x:c r="A64" s="2" t="s">
        <x:v>59</x:v>
      </x:c>
      <x:c r="B64" s="3">
        <x:v>139</x:v>
      </x:c>
      <x:c r="C64" s="2" t="s">
        <x:v>309</x:v>
      </x:c>
      <x:c r="D64" s="2" t="s">
        <x:v>310</x:v>
      </x:c>
      <x:c r="E64" s="2" t="s">
        <x:v>71</x:v>
      </x:c>
      <x:c r="F64" s="2" t="s">
        <x:v>72</x:v>
      </x:c>
      <x:c r="G64" s="3">
        <x:v>55</x:v>
      </x:c>
      <x:c r="H64" s="3">
        <x:v>1</x:v>
      </x:c>
      <x:c r="I64" s="3">
        <x:v>130</x:v>
      </x:c>
      <x:c r="J64" s="4">
        <x:v>6.5252854812398051E-2</x:v>
      </x:c>
      <x:c r="K64" s="3">
        <x:v>0</x:v>
      </x:c>
      <x:c r="L64" s="2" t="s">
        <x:v>311</x:v>
      </x:c>
      <x:c r="M64" s="3">
        <x:v>1110</x:v>
      </x:c>
      <x:c r="N64" s="3">
        <x:v>75</x:v>
      </x:c>
      <x:c r="O64" s="5">
        <x:v>153.5063003156917</x:v>
      </x:c>
      <x:c r="P64" s="5">
        <x:v>36.629805852033691</x:v>
      </x:c>
      <x:c r="Q64" s="5"/>
      <x:c r="R64" s="5">
        <x:v>65.93201935222227</x:v>
      </x:c>
      <x:c r="S64" s="5">
        <x:f t="shared" si="0"/>
        <x:v>44.980743854744631</x:v>
      </x:c>
      <x:c r="T64" s="5">
        <x:f t="shared" si="1"/>
        <x:v>44.980743854744631</x:v>
      </x:c>
      <x:c r="U64" s="5" t="e">
        <x:f>T64/[1]Model_Parameters!$B$22</x:f>
        <x:v>#NAME?</x:v>
      </x:c>
      <x:c r="V64" s="5">
        <x:v>369.02619409227327</x:v>
      </x:c>
      <x:c r="W64" s="5">
        <x:v>369.02619409227327</x:v>
      </x:c>
      <x:c r="X64" s="5">
        <x:v>94.992289842503709</x:v>
      </x:c>
      <x:c r="Y64" s="3">
        <x:v>3</x:v>
      </x:c>
      <x:c r="Z64" s="3">
        <x:v>0</x:v>
      </x:c>
      <x:c r="AA64" s="3"/>
      <x:c r="AB64" s="2"/>
      <x:c r="AC64" s="3"/>
      <x:c r="AD64" s="3"/>
      <x:c r="AE64" s="2" t="s">
        <x:v>65</x:v>
      </x:c>
      <x:c r="AF64" s="3">
        <x:v>5</x:v>
      </x:c>
      <x:c r="AG64" s="3">
        <x:v>0</x:v>
      </x:c>
      <x:c r="AH64" s="2" t="s">
        <x:v>311</x:v>
      </x:c>
      <x:c r="AI64" s="3">
        <x:v>75</x:v>
      </x:c>
      <x:c r="AJ64" s="3">
        <x:v>0</x:v>
      </x:c>
      <x:c r="AK64" s="2" t="s">
        <x:v>66</x:v>
      </x:c>
      <x:c r="AL64" s="3">
        <x:v>0</x:v>
      </x:c>
      <x:c r="AM64" s="2" t="s">
        <x:v>312</x:v>
      </x:c>
      <x:c r="AN64" s="3">
        <x:v>75</x:v>
      </x:c>
      <x:c r="AO64" s="3">
        <x:v>8</x:v>
      </x:c>
      <x:c r="AP64" s="3">
        <x:v>8</x:v>
      </x:c>
      <x:c r="AQ64" s="5">
        <x:v>47.35199449273442</x:v>
      </x:c>
      <x:c r="AR64" s="5">
        <x:v>44.980743854744667</x:v>
      </x:c>
      <x:c r="AS64" s="5">
        <x:f t="shared" si="2"/>
        <x:v>100.00000000000009</x:v>
      </x:c>
      <x:c r="AT64" s="5">
        <x:v>355.13995869550808</x:v>
      </x:c>
      <x:c r="AU64" s="5">
        <x:v>369.02619409227327</x:v>
      </x:c>
      <x:c r="AV64" s="5">
        <x:v>65.93201935222227</x:v>
      </x:c>
      <x:c r="AW64" s="2" t="b">
        <x:v>0</x:v>
      </x:c>
      <x:c r="AX64" s="2"/>
      <x:c r="AY64" s="2" t="s">
        <x:v>75</x:v>
      </x:c>
      <x:c r="AZ64" s="6">
        <x:v>75</x:v>
      </x:c>
      <x:c r="BA64" s="6"/>
      <x:c r="BB64" s="7"/>
      <x:c r="BC64" s="7"/>
      <x:c r="BD64" s="8"/>
      <x:c r="BE64" s="2" t="e">
        <x:f>IF(AE64="Blocked","No",IF(AJ64&lt;=[1]Model_Parameters!$B$20,"Yes","No"))</x:f>
        <x:v>#NAME?</x:v>
      </x:c>
      <x:c r="BF64" s="2" t="str">
        <x:f t="shared" si="3"/>
        <x:v>Yes</x:v>
      </x:c>
      <x:c r="BG64" s="2" t="str">
        <x:f t="shared" si="4"/>
        <x:v>Yes</x:v>
      </x:c>
      <x:c r="BH64" s="24"/>
      <x:c r="BI64" s="24"/>
    </x:row>
    <x:row r="65">
      <x:c r="A65" s="2" t="s">
        <x:v>59</x:v>
      </x:c>
      <x:c r="B65" s="3">
        <x:v>145</x:v>
      </x:c>
      <x:c r="C65" s="2" t="s">
        <x:v>313</x:v>
      </x:c>
      <x:c r="D65" s="2" t="s">
        <x:v>314</x:v>
      </x:c>
      <x:c r="E65" s="2" t="s">
        <x:v>71</x:v>
      </x:c>
      <x:c r="F65" s="2" t="s">
        <x:v>72</x:v>
      </x:c>
      <x:c r="G65" s="3">
        <x:v>56</x:v>
      </x:c>
      <x:c r="H65" s="3">
        <x:v>1</x:v>
      </x:c>
      <x:c r="I65" s="3">
        <x:v>130</x:v>
      </x:c>
      <x:c r="J65" s="4">
        <x:v>6.5252854812398051E-2</x:v>
      </x:c>
      <x:c r="K65" s="3">
        <x:v>0</x:v>
      </x:c>
      <x:c r="L65" s="2" t="s">
        <x:v>315</x:v>
      </x:c>
      <x:c r="M65" s="3">
        <x:v>1123</x:v>
      </x:c>
      <x:c r="N65" s="3">
        <x:v>75</x:v>
      </x:c>
      <x:c r="O65" s="5">
        <x:v>93.338780662204471</x:v>
      </x:c>
      <x:c r="P65" s="5">
        <x:v>8.8020233501042675</x:v>
      </x:c>
      <x:c r="Q65" s="5"/>
      <x:c r="R65" s="5">
        <x:v>85.323858617931549</x:v>
      </x:c>
      <x:c r="S65" s="5">
        <x:f t="shared" si="0"/>
        <x:v>71.42454797933074</x:v>
      </x:c>
      <x:c r="T65" s="5">
        <x:f t="shared" si="1"/>
        <x:v>71.42454797933074</x:v>
      </x:c>
      <x:c r="U65" s="5" t="e">
        <x:f>T65/[1]Model_Parameters!$B$22</x:f>
        <x:v>#NAME?</x:v>
      </x:c>
      <x:c r="V65" s="5">
        <x:v>154.92305964233839</x:v>
      </x:c>
      <x:c r="W65" s="5">
        <x:v>154.92305964233839</x:v>
      </x:c>
      <x:c r="X65" s="5">
        <x:v>91.895547447574785</x:v>
      </x:c>
      <x:c r="Y65" s="3">
        <x:v>8</x:v>
      </x:c>
      <x:c r="Z65" s="3">
        <x:v>0</x:v>
      </x:c>
      <x:c r="AA65" s="3"/>
      <x:c r="AB65" s="2"/>
      <x:c r="AC65" s="3"/>
      <x:c r="AD65" s="3"/>
      <x:c r="AE65" s="2" t="s">
        <x:v>65</x:v>
      </x:c>
      <x:c r="AF65" s="3">
        <x:v>3</x:v>
      </x:c>
      <x:c r="AG65" s="3">
        <x:v>0</x:v>
      </x:c>
      <x:c r="AH65" s="2" t="s">
        <x:v>315</x:v>
      </x:c>
      <x:c r="AI65" s="3">
        <x:v>75</x:v>
      </x:c>
      <x:c r="AJ65" s="3">
        <x:v>0</x:v>
      </x:c>
      <x:c r="AK65" s="2" t="s">
        <x:v>66</x:v>
      </x:c>
      <x:c r="AL65" s="3">
        <x:v>0</x:v>
      </x:c>
      <x:c r="AM65" s="2" t="s">
        <x:v>316</x:v>
      </x:c>
      <x:c r="AN65" s="3">
        <x:v>78</x:v>
      </x:c>
      <x:c r="AO65" s="3">
        <x:v>34</x:v>
      </x:c>
      <x:c r="AP65" s="3">
        <x:v>34</x:v>
      </x:c>
      <x:c r="AQ65" s="5">
        <x:v>77.723622050434543</x:v>
      </x:c>
      <x:c r="AR65" s="5">
        <x:v>71.424547979330782</x:v>
      </x:c>
      <x:c r="AS65" s="5">
        <x:f t="shared" si="2"/>
        <x:v>100.00000000000007</x:v>
      </x:c>
      <x:c r="AT65" s="5">
        <x:v>137.1593330301786</x:v>
      </x:c>
      <x:c r="AU65" s="5">
        <x:v>154.92305964233839</x:v>
      </x:c>
      <x:c r="AV65" s="5">
        <x:v>85.323858617931549</x:v>
      </x:c>
      <x:c r="AW65" s="2" t="b">
        <x:v>0</x:v>
      </x:c>
      <x:c r="AX65" s="2"/>
      <x:c r="AY65" s="2" t="s">
        <x:v>75</x:v>
      </x:c>
      <x:c r="AZ65" s="6">
        <x:v>75</x:v>
      </x:c>
      <x:c r="BA65" s="6"/>
      <x:c r="BB65" s="7"/>
      <x:c r="BC65" s="7"/>
      <x:c r="BD65" s="8"/>
      <x:c r="BE65" s="2" t="e">
        <x:f>IF(AE65="Blocked","No",IF(AJ65&lt;=[1]Model_Parameters!$B$20,"Yes","No"))</x:f>
        <x:v>#NAME?</x:v>
      </x:c>
      <x:c r="BF65" s="2" t="str">
        <x:f t="shared" si="3"/>
        <x:v>Yes</x:v>
      </x:c>
      <x:c r="BG65" s="2" t="str">
        <x:f t="shared" si="4"/>
        <x:v>Yes</x:v>
      </x:c>
      <x:c r="BH65" s="24"/>
      <x:c r="BI65" s="24"/>
    </x:row>
    <x:row r="66">
      <x:c r="A66" s="2" t="s">
        <x:v>59</x:v>
      </x:c>
      <x:c r="B66" s="3">
        <x:v>147</x:v>
      </x:c>
      <x:c r="C66" s="2" t="s">
        <x:v>317</x:v>
      </x:c>
      <x:c r="D66" s="2" t="s">
        <x:v>318</x:v>
      </x:c>
      <x:c r="E66" s="2" t="s">
        <x:v>71</x:v>
      </x:c>
      <x:c r="F66" s="2" t="s">
        <x:v>72</x:v>
      </x:c>
      <x:c r="G66" s="3">
        <x:v>57</x:v>
      </x:c>
      <x:c r="H66" s="3">
        <x:v>1</x:v>
      </x:c>
      <x:c r="I66" s="3">
        <x:v>130</x:v>
      </x:c>
      <x:c r="J66" s="4">
        <x:v>6.5252854812398051E-2</x:v>
      </x:c>
      <x:c r="K66" s="3">
        <x:v>0</x:v>
      </x:c>
      <x:c r="L66" s="2" t="s">
        <x:v>319</x:v>
      </x:c>
      <x:c r="M66" s="3">
        <x:v>1132</x:v>
      </x:c>
      <x:c r="N66" s="3">
        <x:v>76</x:v>
      </x:c>
      <x:c r="O66" s="5">
        <x:v>141.17780722515761</x:v>
      </x:c>
      <x:c r="P66" s="5">
        <x:v>83.227945963311186</x:v>
      </x:c>
      <x:c r="Q66" s="5"/>
      <x:c r="R66" s="5">
        <x:v>98.249842837636933</x:v>
      </x:c>
      <x:c r="S66" s="5" t="n">
        <x:f t="shared" ref="S66:S129" si="5">O66*(R66-P66)/100</x:f>
        <x:v>21.207584610797582</x:v>
      </x:c>
      <x:c r="T66" s="5" t="n">
        <x:f t="shared" ref="T66:T129" si="6">O66*(R66-IF(Q66="",P66,Q66))/100</x:f>
        <x:v>21.207584610797582</x:v>
      </x:c>
      <x:c r="U66" s="5" t="e">
        <x:f>T66/[1]Model_Parameters!$B$22</x:f>
        <x:v>#NAME?</x:v>
      </x:c>
      <x:c r="V66" s="5">
        <x:v>424.67477060953098</x:v>
      </x:c>
      <x:c r="W66" s="5">
        <x:v>424.67477060953098</x:v>
      </x:c>
      <x:c r="X66" s="5">
        <x:v>93.224357434515312</x:v>
      </x:c>
      <x:c r="Y66" s="3">
        <x:v>7</x:v>
      </x:c>
      <x:c r="Z66" s="3">
        <x:v>0</x:v>
      </x:c>
      <x:c r="AA66" s="3"/>
      <x:c r="AB66" s="2"/>
      <x:c r="AC66" s="3"/>
      <x:c r="AD66" s="3"/>
      <x:c r="AE66" s="2" t="s">
        <x:v>65</x:v>
      </x:c>
      <x:c r="AF66" s="3">
        <x:v>5</x:v>
      </x:c>
      <x:c r="AG66" s="3">
        <x:v>0</x:v>
      </x:c>
      <x:c r="AH66" s="2" t="s">
        <x:v>319</x:v>
      </x:c>
      <x:c r="AI66" s="3">
        <x:v>76</x:v>
      </x:c>
      <x:c r="AJ66" s="3">
        <x:v>0</x:v>
      </x:c>
      <x:c r="AK66" s="2" t="s">
        <x:v>66</x:v>
      </x:c>
      <x:c r="AL66" s="3">
        <x:v>0</x:v>
      </x:c>
      <x:c r="AM66" s="2" t="s">
        <x:v>320</x:v>
      </x:c>
      <x:c r="AN66" s="3">
        <x:v>77</x:v>
      </x:c>
      <x:c r="AO66" s="3">
        <x:v>13</x:v>
      </x:c>
      <x:c r="AP66" s="3">
        <x:v>13</x:v>
      </x:c>
      <x:c r="AQ66" s="5">
        <x:v>22.748973760097719</x:v>
      </x:c>
      <x:c r="AR66" s="5">
        <x:v>21.2075846107976</x:v>
      </x:c>
      <x:c r="AS66" s="5" t="n">
        <x:f t="shared" ref="AS66:AS129" si="7">IF(S66=0,100,IFERROR(AR66/S66*100,0))</x:f>
        <x:v>100.00000000000009</x:v>
      </x:c>
      <x:c r="AT66" s="5">
        <x:v>104.9952635081433</x:v>
      </x:c>
      <x:c r="AU66" s="5">
        <x:v>218.57578813488351</x:v>
      </x:c>
      <x:c r="AV66" s="5">
        <x:v>98.249842837636933</x:v>
      </x:c>
      <x:c r="AW66" s="2" t="b">
        <x:v>0</x:v>
      </x:c>
      <x:c r="AX66" s="2"/>
      <x:c r="AY66" s="2" t="s">
        <x:v>75</x:v>
      </x:c>
      <x:c r="AZ66" s="6">
        <x:v>76</x:v>
      </x:c>
      <x:c r="BA66" s="6"/>
      <x:c r="BB66" s="7"/>
      <x:c r="BC66" s="7"/>
      <x:c r="BD66" s="8"/>
      <x:c r="BE66" s="2" t="e">
        <x:f>IF(AE66="Blocked","No",IF(AJ66&lt;=[1]Model_Parameters!$B$20,"Yes","No"))</x:f>
        <x:v>#NAME?</x:v>
      </x:c>
      <x:c r="BF66" s="2" t="str">
        <x:f t="shared" ref="BF66:BF129" si="8">IF(AK66="Completed","Yes","No")</x:f>
        <x:v>Yes</x:v>
      </x:c>
      <x:c r="BG66" s="2" t="e">
        <x:f t="shared" ref="BG66:BG129" si="9">IF(AND(BE66="Yes",BF66="Yes"),"Yes","No")</x:f>
        <x:v>#NAME?</x:v>
      </x:c>
      <x:c r="BH66" s="24"/>
      <x:c r="BI66" s="24"/>
    </x:row>
    <x:row r="67">
      <x:c r="A67" s="2" t="s">
        <x:v>59</x:v>
      </x:c>
      <x:c r="B67" s="3">
        <x:v>148</x:v>
      </x:c>
      <x:c r="C67" s="2" t="s">
        <x:v>321</x:v>
      </x:c>
      <x:c r="D67" s="2" t="s">
        <x:v>322</x:v>
      </x:c>
      <x:c r="E67" s="2" t="s">
        <x:v>71</x:v>
      </x:c>
      <x:c r="F67" s="2" t="s">
        <x:v>72</x:v>
      </x:c>
      <x:c r="G67" s="3">
        <x:v>58</x:v>
      </x:c>
      <x:c r="H67" s="3">
        <x:v>1</x:v>
      </x:c>
      <x:c r="I67" s="3">
        <x:v>130</x:v>
      </x:c>
      <x:c r="J67" s="4">
        <x:v>6.5252854812398051E-2</x:v>
      </x:c>
      <x:c r="K67" s="3">
        <x:v>0</x:v>
      </x:c>
      <x:c r="L67" s="2" t="s">
        <x:v>323</x:v>
      </x:c>
      <x:c r="M67" s="3">
        <x:v>1137</x:v>
      </x:c>
      <x:c r="N67" s="3">
        <x:v>76</x:v>
      </x:c>
      <x:c r="O67" s="5">
        <x:v>89.647530880105606</x:v>
      </x:c>
      <x:c r="P67" s="5">
        <x:v>35.190763483427418</x:v>
      </x:c>
      <x:c r="Q67" s="5"/>
      <x:c r="R67" s="5">
        <x:v>83.243652462905629</x:v>
      </x:c>
      <x:c r="S67" s="5">
        <x:f t="shared" si="5"/>
        <x:v>43.078228486660592</x:v>
      </x:c>
      <x:c r="T67" s="5">
        <x:f t="shared" si="6"/>
        <x:v>43.078228486660592</x:v>
      </x:c>
      <x:c r="U67" s="5" t="e">
        <x:f>T67/[1]Model_Parameters!$B$22</x:f>
        <x:v>#NAME?</x:v>
      </x:c>
      <x:c r="V67" s="5">
        <x:v>357.34861111269919</x:v>
      </x:c>
      <x:c r="W67" s="5">
        <x:v>357.34861111269919</x:v>
      </x:c>
      <x:c r="X67" s="5">
        <x:v>93.059570093290645</x:v>
      </x:c>
      <x:c r="Y67" s="3">
        <x:v>7</x:v>
      </x:c>
      <x:c r="Z67" s="3">
        <x:v>0</x:v>
      </x:c>
      <x:c r="AA67" s="3"/>
      <x:c r="AB67" s="2"/>
      <x:c r="AC67" s="3"/>
      <x:c r="AD67" s="3"/>
      <x:c r="AE67" s="2" t="s">
        <x:v>65</x:v>
      </x:c>
      <x:c r="AF67" s="3">
        <x:v>6</x:v>
      </x:c>
      <x:c r="AG67" s="3">
        <x:v>0</x:v>
      </x:c>
      <x:c r="AH67" s="2" t="s">
        <x:v>323</x:v>
      </x:c>
      <x:c r="AI67" s="3">
        <x:v>76</x:v>
      </x:c>
      <x:c r="AJ67" s="3">
        <x:v>0</x:v>
      </x:c>
      <x:c r="AK67" s="2" t="s">
        <x:v>66</x:v>
      </x:c>
      <x:c r="AL67" s="3">
        <x:v>0</x:v>
      </x:c>
      <x:c r="AM67" s="2" t="s">
        <x:v>324</x:v>
      </x:c>
      <x:c r="AN67" s="3">
        <x:v>77</x:v>
      </x:c>
      <x:c r="AO67" s="3">
        <x:v>9</x:v>
      </x:c>
      <x:c r="AP67" s="3">
        <x:v>9</x:v>
      </x:c>
      <x:c r="AQ67" s="5">
        <x:v>46.291024602279371</x:v>
      </x:c>
      <x:c r="AR67" s="5">
        <x:v>43.078228486660578</x:v>
      </x:c>
      <x:c r="AS67" s="5">
        <x:f t="shared" si="7"/>
        <x:v>99.999999999999972</x:v>
      </x:c>
      <x:c r="AT67" s="5">
        <x:v>308.6068306818625</x:v>
      </x:c>
      <x:c r="AU67" s="5">
        <x:v>357.34861111269919</x:v>
      </x:c>
      <x:c r="AV67" s="5">
        <x:v>83.243652462905629</x:v>
      </x:c>
      <x:c r="AW67" s="2" t="b">
        <x:v>0</x:v>
      </x:c>
      <x:c r="AX67" s="2"/>
      <x:c r="AY67" s="2" t="s">
        <x:v>75</x:v>
      </x:c>
      <x:c r="AZ67" s="6">
        <x:v>76</x:v>
      </x:c>
      <x:c r="BA67" s="6"/>
      <x:c r="BB67" s="7"/>
      <x:c r="BC67" s="7"/>
      <x:c r="BD67" s="8"/>
      <x:c r="BE67" s="2" t="e">
        <x:f>IF(AE67="Blocked","No",IF(AJ67&lt;=[1]Model_Parameters!$B$20,"Yes","No"))</x:f>
        <x:v>#NAME?</x:v>
      </x:c>
      <x:c r="BF67" s="2" t="str">
        <x:f t="shared" si="8"/>
        <x:v>Yes</x:v>
      </x:c>
      <x:c r="BG67" s="2" t="str">
        <x:f t="shared" si="9"/>
        <x:v>Yes</x:v>
      </x:c>
      <x:c r="BH67" s="24"/>
      <x:c r="BI67" s="24"/>
    </x:row>
    <x:row r="68">
      <x:c r="A68" s="2" t="s">
        <x:v>59</x:v>
      </x:c>
      <x:c r="B68" s="3">
        <x:v>151</x:v>
      </x:c>
      <x:c r="C68" s="2" t="s">
        <x:v>325</x:v>
      </x:c>
      <x:c r="D68" s="2" t="s">
        <x:v>326</x:v>
      </x:c>
      <x:c r="E68" s="2" t="s">
        <x:v>71</x:v>
      </x:c>
      <x:c r="F68" s="2" t="s">
        <x:v>72</x:v>
      </x:c>
      <x:c r="G68" s="3">
        <x:v>59</x:v>
      </x:c>
      <x:c r="H68" s="3">
        <x:v>1</x:v>
      </x:c>
      <x:c r="I68" s="3">
        <x:v>130</x:v>
      </x:c>
      <x:c r="J68" s="4">
        <x:v>9.7879282218597069E-2</x:v>
      </x:c>
      <x:c r="K68" s="3">
        <x:v>0</x:v>
      </x:c>
      <x:c r="L68" s="2" t="s">
        <x:v>327</x:v>
      </x:c>
      <x:c r="M68" s="3">
        <x:v>1151</x:v>
      </x:c>
      <x:c r="N68" s="3">
        <x:v>77</x:v>
      </x:c>
      <x:c r="O68" s="5">
        <x:v>115.3096060508762</x:v>
      </x:c>
      <x:c r="P68" s="5">
        <x:v>4.7803878503409951</x:v>
      </x:c>
      <x:c r="Q68" s="5"/>
      <x:c r="R68" s="5">
        <x:v>49.625794444341679</x:v>
      </x:c>
      <x:c r="S68" s="5">
        <x:f t="shared" si="5"/>
        <x:v>51.711061675455852</x:v>
      </x:c>
      <x:c r="T68" s="5">
        <x:f t="shared" si="6"/>
        <x:v>51.711061675455852</x:v>
      </x:c>
      <x:c r="U68" s="5" t="e">
        <x:f>T68/[1]Model_Parameters!$B$22</x:f>
        <x:v>#NAME?</x:v>
      </x:c>
      <x:c r="V68" s="5">
        <x:v>307.85696456982288</x:v>
      </x:c>
      <x:c r="W68" s="5">
        <x:v>307.85696456982288</x:v>
      </x:c>
      <x:c r="X68" s="5">
        <x:v>94.035400432627654</x:v>
      </x:c>
      <x:c r="Y68" s="3">
        <x:v>4</x:v>
      </x:c>
      <x:c r="Z68" s="3">
        <x:v>0</x:v>
      </x:c>
      <x:c r="AA68" s="3"/>
      <x:c r="AB68" s="2"/>
      <x:c r="AC68" s="3"/>
      <x:c r="AD68" s="3"/>
      <x:c r="AE68" s="2" t="s">
        <x:v>65</x:v>
      </x:c>
      <x:c r="AF68" s="3">
        <x:v>9</x:v>
      </x:c>
      <x:c r="AG68" s="3">
        <x:v>0</x:v>
      </x:c>
      <x:c r="AH68" s="2" t="s">
        <x:v>327</x:v>
      </x:c>
      <x:c r="AI68" s="3">
        <x:v>77</x:v>
      </x:c>
      <x:c r="AJ68" s="3">
        <x:v>0</x:v>
      </x:c>
      <x:c r="AK68" s="2" t="s">
        <x:v>66</x:v>
      </x:c>
      <x:c r="AL68" s="3">
        <x:v>0</x:v>
      </x:c>
      <x:c r="AM68" s="2" t="s">
        <x:v>328</x:v>
      </x:c>
      <x:c r="AN68" s="3">
        <x:v>78</x:v>
      </x:c>
      <x:c r="AO68" s="3">
        <x:v>11</x:v>
      </x:c>
      <x:c r="AP68" s="3">
        <x:v>11</x:v>
      </x:c>
      <x:c r="AQ68" s="5">
        <x:v>54.991058088283047</x:v>
      </x:c>
      <x:c r="AR68" s="5">
        <x:v>51.711061675455831</x:v>
      </x:c>
      <x:c r="AS68" s="5">
        <x:f t="shared" si="7"/>
        <x:v>99.999999999999957</x:v>
      </x:c>
      <x:c r="AT68" s="5">
        <x:v>299.95122593608937</x:v>
      </x:c>
      <x:c r="AU68" s="5">
        <x:v>307.85696456982288</x:v>
      </x:c>
      <x:c r="AV68" s="5">
        <x:v>49.625794444341679</x:v>
      </x:c>
      <x:c r="AW68" s="2" t="b">
        <x:v>0</x:v>
      </x:c>
      <x:c r="AX68" s="2"/>
      <x:c r="AY68" s="2" t="s">
        <x:v>75</x:v>
      </x:c>
      <x:c r="AZ68" s="6">
        <x:v>77</x:v>
      </x:c>
      <x:c r="BA68" s="6"/>
      <x:c r="BB68" s="7"/>
      <x:c r="BC68" s="7"/>
      <x:c r="BD68" s="8"/>
      <x:c r="BE68" s="2" t="e">
        <x:f>IF(AE68="Blocked","No",IF(AJ68&lt;=[1]Model_Parameters!$B$20,"Yes","No"))</x:f>
        <x:v>#NAME?</x:v>
      </x:c>
      <x:c r="BF68" s="2" t="str">
        <x:f t="shared" si="8"/>
        <x:v>Yes</x:v>
      </x:c>
      <x:c r="BG68" s="2" t="str">
        <x:f t="shared" si="9"/>
        <x:v>Yes</x:v>
      </x:c>
      <x:c r="BH68" s="24"/>
      <x:c r="BI68" s="24"/>
    </x:row>
    <x:row r="69">
      <x:c r="A69" s="2" t="s">
        <x:v>59</x:v>
      </x:c>
      <x:c r="B69" s="3">
        <x:v>152</x:v>
      </x:c>
      <x:c r="C69" s="2" t="s">
        <x:v>329</x:v>
      </x:c>
      <x:c r="D69" s="2" t="s">
        <x:v>330</x:v>
      </x:c>
      <x:c r="E69" s="2" t="s">
        <x:v>71</x:v>
      </x:c>
      <x:c r="F69" s="2" t="s">
        <x:v>72</x:v>
      </x:c>
      <x:c r="G69" s="3">
        <x:v>60</x:v>
      </x:c>
      <x:c r="H69" s="3">
        <x:v>1</x:v>
      </x:c>
      <x:c r="I69" s="3">
        <x:v>130</x:v>
      </x:c>
      <x:c r="J69" s="4">
        <x:v>9.7879282218597069E-2</x:v>
      </x:c>
      <x:c r="K69" s="3">
        <x:v>0</x:v>
      </x:c>
      <x:c r="L69" s="2" t="s">
        <x:v>331</x:v>
      </x:c>
      <x:c r="M69" s="3">
        <x:v>1152</x:v>
      </x:c>
      <x:c r="N69" s="3">
        <x:v>77</x:v>
      </x:c>
      <x:c r="O69" s="5">
        <x:v>82.634485543724637</x:v>
      </x:c>
      <x:c r="P69" s="5">
        <x:v>28.30237333317244</x:v>
      </x:c>
      <x:c r="Q69" s="5"/>
      <x:c r="R69" s="5">
        <x:v>59.518796629818453</x:v>
      </x:c>
      <x:c r="S69" s="5">
        <x:f t="shared" si="5"/>
        <x:v>25.795530796334837</x:v>
      </x:c>
      <x:c r="T69" s="5">
        <x:f t="shared" si="6"/>
        <x:v>25.795530796334837</x:v>
      </x:c>
      <x:c r="U69" s="5" t="e">
        <x:f>T69/[1]Model_Parameters!$B$22</x:f>
        <x:v>#NAME?</x:v>
      </x:c>
      <x:c r="V69" s="5">
        <x:v>337.01166819689399</x:v>
      </x:c>
      <x:c r="W69" s="5">
        <x:v>337.01166819689399</x:v>
      </x:c>
      <x:c r="X69" s="5">
        <x:v>93.702439369140777</x:v>
      </x:c>
      <x:c r="Y69" s="3">
        <x:v>5</x:v>
      </x:c>
      <x:c r="Z69" s="3">
        <x:v>0</x:v>
      </x:c>
      <x:c r="AA69" s="3"/>
      <x:c r="AB69" s="2"/>
      <x:c r="AC69" s="3"/>
      <x:c r="AD69" s="3"/>
      <x:c r="AE69" s="2" t="s">
        <x:v>65</x:v>
      </x:c>
      <x:c r="AF69" s="3">
        <x:v>10</x:v>
      </x:c>
      <x:c r="AG69" s="3">
        <x:v>0</x:v>
      </x:c>
      <x:c r="AH69" s="2" t="s">
        <x:v>331</x:v>
      </x:c>
      <x:c r="AI69" s="3">
        <x:v>77</x:v>
      </x:c>
      <x:c r="AJ69" s="3">
        <x:v>0</x:v>
      </x:c>
      <x:c r="AK69" s="2" t="s">
        <x:v>66</x:v>
      </x:c>
      <x:c r="AL69" s="3">
        <x:v>0</x:v>
      </x:c>
      <x:c r="AM69" s="2" t="s">
        <x:v>316</x:v>
      </x:c>
      <x:c r="AN69" s="3">
        <x:v>78</x:v>
      </x:c>
      <x:c r="AO69" s="3">
        <x:v>5</x:v>
      </x:c>
      <x:c r="AP69" s="3">
        <x:v>5</x:v>
      </x:c>
      <x:c r="AQ69" s="5">
        <x:v>27.529198780741812</x:v>
      </x:c>
      <x:c r="AR69" s="5">
        <x:v>25.79553079633483</x:v>
      </x:c>
      <x:c r="AS69" s="5">
        <x:f t="shared" si="7"/>
        <x:v>99.999999999999972</x:v>
      </x:c>
      <x:c r="AT69" s="5">
        <x:v>330.3503853689017</x:v>
      </x:c>
      <x:c r="AU69" s="5">
        <x:v>337.01166819689399</x:v>
      </x:c>
      <x:c r="AV69" s="5">
        <x:v>59.518796629818453</x:v>
      </x:c>
      <x:c r="AW69" s="2" t="b">
        <x:v>0</x:v>
      </x:c>
      <x:c r="AX69" s="2"/>
      <x:c r="AY69" s="2" t="s">
        <x:v>75</x:v>
      </x:c>
      <x:c r="AZ69" s="6">
        <x:v>77</x:v>
      </x:c>
      <x:c r="BA69" s="6"/>
      <x:c r="BB69" s="7"/>
      <x:c r="BC69" s="7"/>
      <x:c r="BD69" s="8"/>
      <x:c r="BE69" s="2" t="e">
        <x:f>IF(AE69="Blocked","No",IF(AJ69&lt;=[1]Model_Parameters!$B$20,"Yes","No"))</x:f>
        <x:v>#NAME?</x:v>
      </x:c>
      <x:c r="BF69" s="2" t="str">
        <x:f t="shared" si="8"/>
        <x:v>Yes</x:v>
      </x:c>
      <x:c r="BG69" s="2" t="str">
        <x:f t="shared" si="9"/>
        <x:v>Yes</x:v>
      </x:c>
      <x:c r="BH69" s="24"/>
      <x:c r="BI69" s="24"/>
    </x:row>
    <x:row r="70">
      <x:c r="A70" s="2" t="s">
        <x:v>59</x:v>
      </x:c>
      <x:c r="B70" s="3">
        <x:v>155</x:v>
      </x:c>
      <x:c r="C70" s="2" t="s">
        <x:v>332</x:v>
      </x:c>
      <x:c r="D70" s="2" t="s">
        <x:v>333</x:v>
      </x:c>
      <x:c r="E70" s="2" t="s">
        <x:v>71</x:v>
      </x:c>
      <x:c r="F70" s="2" t="s">
        <x:v>72</x:v>
      </x:c>
      <x:c r="G70" s="3">
        <x:v>61</x:v>
      </x:c>
      <x:c r="H70" s="3">
        <x:v>1</x:v>
      </x:c>
      <x:c r="I70" s="3">
        <x:v>130</x:v>
      </x:c>
      <x:c r="J70" s="4">
        <x:v>9.7879282218597069E-2</x:v>
      </x:c>
      <x:c r="K70" s="3">
        <x:v>0</x:v>
      </x:c>
      <x:c r="L70" s="2" t="s">
        <x:v>334</x:v>
      </x:c>
      <x:c r="M70" s="3">
        <x:v>1159</x:v>
      </x:c>
      <x:c r="N70" s="3">
        <x:v>78</x:v>
      </x:c>
      <x:c r="O70" s="5">
        <x:v>61.672717386110072</x:v>
      </x:c>
      <x:c r="P70" s="5">
        <x:v>13.65778995281455</x:v>
      </x:c>
      <x:c r="Q70" s="5"/>
      <x:c r="R70" s="5">
        <x:v>66.001101028363379</x:v>
      </x:c>
      <x:c r="S70" s="5">
        <x:f t="shared" si="5"/>
        <x:v>32.281542310155679</x:v>
      </x:c>
      <x:c r="T70" s="5">
        <x:f t="shared" si="6"/>
        <x:v>32.281542310155679</x:v>
      </x:c>
      <x:c r="U70" s="5" t="e">
        <x:f>T70/[1]Model_Parameters!$B$22</x:f>
        <x:v>#NAME?</x:v>
      </x:c>
      <x:c r="V70" s="5">
        <x:v>133.97889367414021</x:v>
      </x:c>
      <x:c r="W70" s="5">
        <x:v>133.97889367414021</x:v>
      </x:c>
      <x:c r="X70" s="5">
        <x:v>92.298031495666322</x:v>
      </x:c>
      <x:c r="Y70" s="3">
        <x:v>5</x:v>
      </x:c>
      <x:c r="Z70" s="3">
        <x:v>0</x:v>
      </x:c>
      <x:c r="AA70" s="3"/>
      <x:c r="AB70" s="2"/>
      <x:c r="AC70" s="3"/>
      <x:c r="AD70" s="3"/>
      <x:c r="AE70" s="2" t="s">
        <x:v>65</x:v>
      </x:c>
      <x:c r="AF70" s="3">
        <x:v>5</x:v>
      </x:c>
      <x:c r="AG70" s="3">
        <x:v>0</x:v>
      </x:c>
      <x:c r="AH70" s="2" t="s">
        <x:v>334</x:v>
      </x:c>
      <x:c r="AI70" s="3">
        <x:v>78</x:v>
      </x:c>
      <x:c r="AJ70" s="3">
        <x:v>0</x:v>
      </x:c>
      <x:c r="AK70" s="2" t="s">
        <x:v>66</x:v>
      </x:c>
      <x:c r="AL70" s="3">
        <x:v>0</x:v>
      </x:c>
      <x:c r="AM70" s="2" t="s">
        <x:v>335</x:v>
      </x:c>
      <x:c r="AN70" s="3">
        <x:v>79</x:v>
      </x:c>
      <x:c r="AO70" s="3">
        <x:v>16</x:v>
      </x:c>
      <x:c r="AP70" s="3">
        <x:v>16</x:v>
      </x:c>
      <x:c r="AQ70" s="5">
        <x:v>34.975331312099982</x:v>
      </x:c>
      <x:c r="AR70" s="5">
        <x:v>32.281542310155693</x:v>
      </x:c>
      <x:c r="AS70" s="5">
        <x:f t="shared" si="7"/>
        <x:v>100.00000000000004</x:v>
      </x:c>
      <x:c r="AT70" s="5">
        <x:v>131.15749242037489</x:v>
      </x:c>
      <x:c r="AU70" s="5">
        <x:v>133.97889367414021</x:v>
      </x:c>
      <x:c r="AV70" s="5">
        <x:v>66.001101028363379</x:v>
      </x:c>
      <x:c r="AW70" s="2" t="b">
        <x:v>0</x:v>
      </x:c>
      <x:c r="AX70" s="2"/>
      <x:c r="AY70" s="2" t="s">
        <x:v>75</x:v>
      </x:c>
      <x:c r="AZ70" s="6">
        <x:v>78</x:v>
      </x:c>
      <x:c r="BA70" s="6"/>
      <x:c r="BB70" s="7"/>
      <x:c r="BC70" s="7"/>
      <x:c r="BD70" s="8"/>
      <x:c r="BE70" s="2" t="e">
        <x:f>IF(AE70="Blocked","No",IF(AJ70&lt;=[1]Model_Parameters!$B$20,"Yes","No"))</x:f>
        <x:v>#NAME?</x:v>
      </x:c>
      <x:c r="BF70" s="2" t="str">
        <x:f t="shared" si="8"/>
        <x:v>Yes</x:v>
      </x:c>
      <x:c r="BG70" s="2" t="str">
        <x:f t="shared" si="9"/>
        <x:v>Yes</x:v>
      </x:c>
      <x:c r="BH70" s="24"/>
      <x:c r="BI70" s="24"/>
    </x:row>
    <x:row r="71">
      <x:c r="A71" s="2" t="s">
        <x:v>59</x:v>
      </x:c>
      <x:c r="B71" s="3">
        <x:v>157</x:v>
      </x:c>
      <x:c r="C71" s="2" t="s">
        <x:v>336</x:v>
      </x:c>
      <x:c r="D71" s="2" t="s">
        <x:v>337</x:v>
      </x:c>
      <x:c r="E71" s="2" t="s">
        <x:v>71</x:v>
      </x:c>
      <x:c r="F71" s="2" t="s">
        <x:v>72</x:v>
      </x:c>
      <x:c r="G71" s="3">
        <x:v>62</x:v>
      </x:c>
      <x:c r="H71" s="3">
        <x:v>1</x:v>
      </x:c>
      <x:c r="I71" s="3">
        <x:v>130</x:v>
      </x:c>
      <x:c r="J71" s="4">
        <x:v>9.7879282218597069E-2</x:v>
      </x:c>
      <x:c r="K71" s="3">
        <x:v>0</x:v>
      </x:c>
      <x:c r="L71" s="2" t="s">
        <x:v>338</x:v>
      </x:c>
      <x:c r="M71" s="3">
        <x:v>1161</x:v>
      </x:c>
      <x:c r="N71" s="3">
        <x:v>78</x:v>
      </x:c>
      <x:c r="O71" s="5">
        <x:v>85.894766306460383</x:v>
      </x:c>
      <x:c r="P71" s="5">
        <x:v>13.849917837614679</x:v>
      </x:c>
      <x:c r="Q71" s="5"/>
      <x:c r="R71" s="5">
        <x:v>29.209724460486161</x:v>
      </x:c>
      <x:c r="S71" s="5">
        <x:f t="shared" si="5"/>
        <x:v>13.193270003839684</x:v>
      </x:c>
      <x:c r="T71" s="5">
        <x:f t="shared" si="6"/>
        <x:v>13.193270003839684</x:v>
      </x:c>
      <x:c r="U71" s="5" t="e">
        <x:f>T71/[1]Model_Parameters!$B$22</x:f>
        <x:v>#NAME?</x:v>
      </x:c>
      <x:c r="V71" s="5">
        <x:v>206.049758167801</x:v>
      </x:c>
      <x:c r="W71" s="5">
        <x:v>206.049758167801</x:v>
      </x:c>
      <x:c r="X71" s="5">
        <x:v>93.338609723759319</x:v>
      </x:c>
      <x:c r="Y71" s="3">
        <x:v>5</x:v>
      </x:c>
      <x:c r="Z71" s="3">
        <x:v>0</x:v>
      </x:c>
      <x:c r="AA71" s="3"/>
      <x:c r="AB71" s="2"/>
      <x:c r="AC71" s="3"/>
      <x:c r="AD71" s="3"/>
      <x:c r="AE71" s="2" t="s">
        <x:v>65</x:v>
      </x:c>
      <x:c r="AF71" s="3">
        <x:v>7</x:v>
      </x:c>
      <x:c r="AG71" s="3">
        <x:v>0</x:v>
      </x:c>
      <x:c r="AH71" s="2" t="s">
        <x:v>338</x:v>
      </x:c>
      <x:c r="AI71" s="3">
        <x:v>78</x:v>
      </x:c>
      <x:c r="AJ71" s="3">
        <x:v>0</x:v>
      </x:c>
      <x:c r="AK71" s="2" t="s">
        <x:v>66</x:v>
      </x:c>
      <x:c r="AL71" s="3">
        <x:v>0</x:v>
      </x:c>
      <x:c r="AM71" s="2" t="s">
        <x:v>339</x:v>
      </x:c>
      <x:c r="AN71" s="3">
        <x:v>78</x:v>
      </x:c>
      <x:c r="AO71" s="3">
        <x:v>5</x:v>
      </x:c>
      <x:c r="AP71" s="3">
        <x:v>5</x:v>
      </x:c>
      <x:c r="AQ71" s="5">
        <x:v>14.134847350829279</x:v>
      </x:c>
      <x:c r="AR71" s="5">
        <x:v>13.193270003839681</x:v>
      </x:c>
      <x:c r="AS71" s="5">
        <x:f t="shared" si="7"/>
        <x:v>99.999999999999972</x:v>
      </x:c>
      <x:c r="AT71" s="5">
        <x:v>169.61816820995139</x:v>
      </x:c>
      <x:c r="AU71" s="5">
        <x:v>206.04975816780109</x:v>
      </x:c>
      <x:c r="AV71" s="5">
        <x:v>29.209724460486161</x:v>
      </x:c>
      <x:c r="AW71" s="2" t="b">
        <x:v>0</x:v>
      </x:c>
      <x:c r="AX71" s="2"/>
      <x:c r="AY71" s="2" t="s">
        <x:v>75</x:v>
      </x:c>
      <x:c r="AZ71" s="6">
        <x:v>78</x:v>
      </x:c>
      <x:c r="BA71" s="6"/>
      <x:c r="BB71" s="7"/>
      <x:c r="BC71" s="7"/>
      <x:c r="BD71" s="8"/>
      <x:c r="BE71" s="2" t="e">
        <x:f>IF(AE71="Blocked","No",IF(AJ71&lt;=[1]Model_Parameters!$B$20,"Yes","No"))</x:f>
        <x:v>#NAME?</x:v>
      </x:c>
      <x:c r="BF71" s="2" t="str">
        <x:f t="shared" si="8"/>
        <x:v>Yes</x:v>
      </x:c>
      <x:c r="BG71" s="2" t="str">
        <x:f t="shared" si="9"/>
        <x:v>Yes</x:v>
      </x:c>
      <x:c r="BH71" s="24"/>
      <x:c r="BI71" s="24"/>
    </x:row>
    <x:row r="72">
      <x:c r="A72" s="2" t="s">
        <x:v>59</x:v>
      </x:c>
      <x:c r="B72" s="3">
        <x:v>158</x:v>
      </x:c>
      <x:c r="C72" s="2" t="s">
        <x:v>340</x:v>
      </x:c>
      <x:c r="D72" s="2" t="s">
        <x:v>341</x:v>
      </x:c>
      <x:c r="E72" s="2" t="s">
        <x:v>71</x:v>
      </x:c>
      <x:c r="F72" s="2" t="s">
        <x:v>72</x:v>
      </x:c>
      <x:c r="G72" s="3">
        <x:v>63</x:v>
      </x:c>
      <x:c r="H72" s="3">
        <x:v>1</x:v>
      </x:c>
      <x:c r="I72" s="3">
        <x:v>130</x:v>
      </x:c>
      <x:c r="J72" s="4">
        <x:v>9.7879282218597069E-2</x:v>
      </x:c>
      <x:c r="K72" s="3">
        <x:v>0</x:v>
      </x:c>
      <x:c r="L72" s="2" t="s">
        <x:v>328</x:v>
      </x:c>
      <x:c r="M72" s="3">
        <x:v>1162</x:v>
      </x:c>
      <x:c r="N72" s="3">
        <x:v>78</x:v>
      </x:c>
      <x:c r="O72" s="5">
        <x:v>113.4377976290702</x:v>
      </x:c>
      <x:c r="P72" s="5">
        <x:v>33.692950821946539</x:v>
      </x:c>
      <x:c r="Q72" s="5"/>
      <x:c r="R72" s="5">
        <x:v>72.635800974851634</x:v>
      </x:c>
      <x:c r="S72" s="5">
        <x:f t="shared" si="5"/>
        <x:v>44.175911547444542</x:v>
      </x:c>
      <x:c r="T72" s="5">
        <x:f t="shared" si="6"/>
        <x:v>44.175911547444542</x:v>
      </x:c>
      <x:c r="U72" s="5" t="e">
        <x:f>T72/[1]Model_Parameters!$B$22</x:f>
        <x:v>#NAME?</x:v>
      </x:c>
      <x:c r="V72" s="5">
        <x:v>105.7569838658451</x:v>
      </x:c>
      <x:c r="W72" s="5">
        <x:v>105.7569838658451</x:v>
      </x:c>
      <x:c r="X72" s="5">
        <x:v>92.709109067885507</x:v>
      </x:c>
      <x:c r="Y72" s="3">
        <x:v>5</x:v>
      </x:c>
      <x:c r="Z72" s="3">
        <x:v>0</x:v>
      </x:c>
      <x:c r="AA72" s="3"/>
      <x:c r="AB72" s="2"/>
      <x:c r="AC72" s="3"/>
      <x:c r="AD72" s="3"/>
      <x:c r="AE72" s="2" t="s">
        <x:v>65</x:v>
      </x:c>
      <x:c r="AF72" s="3">
        <x:v>8</x:v>
      </x:c>
      <x:c r="AG72" s="3">
        <x:v>0</x:v>
      </x:c>
      <x:c r="AH72" s="2" t="s">
        <x:v>328</x:v>
      </x:c>
      <x:c r="AI72" s="3">
        <x:v>78</x:v>
      </x:c>
      <x:c r="AJ72" s="3">
        <x:v>0</x:v>
      </x:c>
      <x:c r="AK72" s="2" t="s">
        <x:v>66</x:v>
      </x:c>
      <x:c r="AL72" s="3">
        <x:v>0</x:v>
      </x:c>
      <x:c r="AM72" s="2" t="s">
        <x:v>342</x:v>
      </x:c>
      <x:c r="AN72" s="3">
        <x:v>80</x:v>
      </x:c>
      <x:c r="AO72" s="3">
        <x:v>28</x:v>
      </x:c>
      <x:c r="AP72" s="3">
        <x:v>28</x:v>
      </x:c>
      <x:c r="AQ72" s="5">
        <x:v>47.650022734116639</x:v>
      </x:c>
      <x:c r="AR72" s="5">
        <x:v>44.175911547444407</x:v>
      </x:c>
      <x:c r="AS72" s="5">
        <x:f t="shared" si="7"/>
        <x:v>99.999999999999687</x:v>
      </x:c>
      <x:c r="AT72" s="5">
        <x:v>102.1071915731071</x:v>
      </x:c>
      <x:c r="AU72" s="5">
        <x:v>105.7569838658451</x:v>
      </x:c>
      <x:c r="AV72" s="5">
        <x:v>72.635800974851634</x:v>
      </x:c>
      <x:c r="AW72" s="2" t="b">
        <x:v>0</x:v>
      </x:c>
      <x:c r="AX72" s="2"/>
      <x:c r="AY72" s="2" t="s">
        <x:v>75</x:v>
      </x:c>
      <x:c r="AZ72" s="6">
        <x:v>78</x:v>
      </x:c>
      <x:c r="BA72" s="6"/>
      <x:c r="BB72" s="7"/>
      <x:c r="BC72" s="7"/>
      <x:c r="BD72" s="8"/>
      <x:c r="BE72" s="2" t="e">
        <x:f>IF(AE72="Blocked","No",IF(AJ72&lt;=[1]Model_Parameters!$B$20,"Yes","No"))</x:f>
        <x:v>#NAME?</x:v>
      </x:c>
      <x:c r="BF72" s="2" t="str">
        <x:f t="shared" si="8"/>
        <x:v>Yes</x:v>
      </x:c>
      <x:c r="BG72" s="2" t="str">
        <x:f t="shared" si="9"/>
        <x:v>Yes</x:v>
      </x:c>
      <x:c r="BH72" s="24"/>
      <x:c r="BI72" s="24"/>
    </x:row>
    <x:row r="73">
      <x:c r="A73" s="2" t="s">
        <x:v>59</x:v>
      </x:c>
      <x:c r="B73" s="3">
        <x:v>159</x:v>
      </x:c>
      <x:c r="C73" s="2" t="s">
        <x:v>343</x:v>
      </x:c>
      <x:c r="D73" s="2" t="s">
        <x:v>344</x:v>
      </x:c>
      <x:c r="E73" s="2" t="s">
        <x:v>71</x:v>
      </x:c>
      <x:c r="F73" s="2" t="s">
        <x:v>72</x:v>
      </x:c>
      <x:c r="G73" s="3">
        <x:v>64</x:v>
      </x:c>
      <x:c r="H73" s="3">
        <x:v>1</x:v>
      </x:c>
      <x:c r="I73" s="3">
        <x:v>130</x:v>
      </x:c>
      <x:c r="J73" s="4">
        <x:v>9.7879282218597069E-2</x:v>
      </x:c>
      <x:c r="K73" s="3">
        <x:v>0</x:v>
      </x:c>
      <x:c r="L73" s="2" t="s">
        <x:v>345</x:v>
      </x:c>
      <x:c r="M73" s="3">
        <x:v>1164</x:v>
      </x:c>
      <x:c r="N73" s="3">
        <x:v>78</x:v>
      </x:c>
      <x:c r="O73" s="5">
        <x:v>103.49464325172769</x:v>
      </x:c>
      <x:c r="P73" s="5">
        <x:v>36.265428037464673</x:v>
      </x:c>
      <x:c r="Q73" s="5"/>
      <x:c r="R73" s="5">
        <x:v>58.134757921028793</x:v>
      </x:c>
      <x:c r="S73" s="5">
        <x:f t="shared" si="5"/>
        <x:v>22.63358494453816</x:v>
      </x:c>
      <x:c r="T73" s="5">
        <x:f t="shared" si="6"/>
        <x:v>22.63358494453816</x:v>
      </x:c>
      <x:c r="U73" s="5" t="e">
        <x:f>T73/[1]Model_Parameters!$B$22</x:f>
        <x:v>#NAME?</x:v>
      </x:c>
      <x:c r="V73" s="5">
        <x:v>218.23587019857601</x:v>
      </x:c>
      <x:c r="W73" s="5">
        <x:v>218.23587019857601</x:v>
      </x:c>
      <x:c r="X73" s="5">
        <x:v>93.292516767264544</x:v>
      </x:c>
      <x:c r="Y73" s="3">
        <x:v>5</x:v>
      </x:c>
      <x:c r="Z73" s="3">
        <x:v>0</x:v>
      </x:c>
      <x:c r="AA73" s="3"/>
      <x:c r="AB73" s="2"/>
      <x:c r="AC73" s="3"/>
      <x:c r="AD73" s="3"/>
      <x:c r="AE73" s="2" t="s">
        <x:v>65</x:v>
      </x:c>
      <x:c r="AF73" s="3">
        <x:v>9</x:v>
      </x:c>
      <x:c r="AG73" s="3">
        <x:v>0</x:v>
      </x:c>
      <x:c r="AH73" s="2" t="s">
        <x:v>345</x:v>
      </x:c>
      <x:c r="AI73" s="3">
        <x:v>78</x:v>
      </x:c>
      <x:c r="AJ73" s="3">
        <x:v>0</x:v>
      </x:c>
      <x:c r="AK73" s="2" t="s">
        <x:v>66</x:v>
      </x:c>
      <x:c r="AL73" s="3">
        <x:v>0</x:v>
      </x:c>
      <x:c r="AM73" s="2" t="s">
        <x:v>346</x:v>
      </x:c>
      <x:c r="AN73" s="3">
        <x:v>79</x:v>
      </x:c>
      <x:c r="AO73" s="3">
        <x:v>7</x:v>
      </x:c>
      <x:c r="AP73" s="3">
        <x:v>7</x:v>
      </x:c>
      <x:c r="AQ73" s="5">
        <x:v>24.260879359704521</x:v>
      </x:c>
      <x:c r="AR73" s="5">
        <x:v>22.633584944538171</x:v>
      </x:c>
      <x:c r="AS73" s="5">
        <x:f t="shared" si="7"/>
        <x:v>100.00000000000004</x:v>
      </x:c>
      <x:c r="AT73" s="5">
        <x:v>207.9503945117531</x:v>
      </x:c>
      <x:c r="AU73" s="5">
        <x:v>218.2358701985759</x:v>
      </x:c>
      <x:c r="AV73" s="5">
        <x:v>58.134757921028793</x:v>
      </x:c>
      <x:c r="AW73" s="2" t="b">
        <x:v>0</x:v>
      </x:c>
      <x:c r="AX73" s="2"/>
      <x:c r="AY73" s="2" t="s">
        <x:v>75</x:v>
      </x:c>
      <x:c r="AZ73" s="6">
        <x:v>78</x:v>
      </x:c>
      <x:c r="BA73" s="6"/>
      <x:c r="BB73" s="7"/>
      <x:c r="BC73" s="7"/>
      <x:c r="BD73" s="8"/>
      <x:c r="BE73" s="2" t="e">
        <x:f>IF(AE73="Blocked","No",IF(AJ73&lt;=[1]Model_Parameters!$B$20,"Yes","No"))</x:f>
        <x:v>#NAME?</x:v>
      </x:c>
      <x:c r="BF73" s="2" t="str">
        <x:f t="shared" si="8"/>
        <x:v>Yes</x:v>
      </x:c>
      <x:c r="BG73" s="2" t="str">
        <x:f t="shared" si="9"/>
        <x:v>Yes</x:v>
      </x:c>
      <x:c r="BH73" s="24"/>
      <x:c r="BI73" s="24"/>
    </x:row>
    <x:row r="74">
      <x:c r="A74" s="2" t="s">
        <x:v>59</x:v>
      </x:c>
      <x:c r="B74" s="3">
        <x:v>160</x:v>
      </x:c>
      <x:c r="C74" s="2" t="s">
        <x:v>347</x:v>
      </x:c>
      <x:c r="D74" s="2" t="s">
        <x:v>348</x:v>
      </x:c>
      <x:c r="E74" s="2" t="s">
        <x:v>71</x:v>
      </x:c>
      <x:c r="F74" s="2" t="s">
        <x:v>72</x:v>
      </x:c>
      <x:c r="G74" s="3">
        <x:v>65</x:v>
      </x:c>
      <x:c r="H74" s="3">
        <x:v>1</x:v>
      </x:c>
      <x:c r="I74" s="3">
        <x:v>130</x:v>
      </x:c>
      <x:c r="J74" s="4">
        <x:v>9.7879282218597069E-2</x:v>
      </x:c>
      <x:c r="K74" s="3">
        <x:v>0</x:v>
      </x:c>
      <x:c r="L74" s="2" t="s">
        <x:v>339</x:v>
      </x:c>
      <x:c r="M74" s="3">
        <x:v>1166</x:v>
      </x:c>
      <x:c r="N74" s="3">
        <x:v>78</x:v>
      </x:c>
      <x:c r="O74" s="5">
        <x:v>49.016185018158289</x:v>
      </x:c>
      <x:c r="P74" s="5">
        <x:v>47.04863616789811</x:v>
      </x:c>
      <x:c r="Q74" s="5"/>
      <x:c r="R74" s="5">
        <x:v>67.532268042445267</x:v>
      </x:c>
      <x:c r="S74" s="5">
        <x:f t="shared" si="5"/>
        <x:v>10.040294898066479</x:v>
      </x:c>
      <x:c r="T74" s="5">
        <x:f t="shared" si="6"/>
        <x:v>10.040294898066479</x:v>
      </x:c>
      <x:c r="U74" s="5" t="e">
        <x:f>T74/[1]Model_Parameters!$B$22</x:f>
        <x:v>#NAME?</x:v>
      </x:c>
      <x:c r="V74" s="5">
        <x:v>134.38956339995019</x:v>
      </x:c>
      <x:c r="W74" s="5">
        <x:v>134.38956339995019</x:v>
      </x:c>
      <x:c r="X74" s="5">
        <x:v>92.85591293762198</x:v>
      </x:c>
      <x:c r="Y74" s="3">
        <x:v>5</x:v>
      </x:c>
      <x:c r="Z74" s="3">
        <x:v>0</x:v>
      </x:c>
      <x:c r="AA74" s="3"/>
      <x:c r="AB74" s="2"/>
      <x:c r="AC74" s="3"/>
      <x:c r="AD74" s="3"/>
      <x:c r="AE74" s="2" t="s">
        <x:v>65</x:v>
      </x:c>
      <x:c r="AF74" s="3">
        <x:v>10</x:v>
      </x:c>
      <x:c r="AG74" s="3">
        <x:v>0</x:v>
      </x:c>
      <x:c r="AH74" s="2" t="s">
        <x:v>339</x:v>
      </x:c>
      <x:c r="AI74" s="3">
        <x:v>78</x:v>
      </x:c>
      <x:c r="AJ74" s="3">
        <x:v>0</x:v>
      </x:c>
      <x:c r="AK74" s="2" t="s">
        <x:v>66</x:v>
      </x:c>
      <x:c r="AL74" s="3">
        <x:v>0</x:v>
      </x:c>
      <x:c r="AM74" s="2" t="s">
        <x:v>346</x:v>
      </x:c>
      <x:c r="AN74" s="3">
        <x:v>79</x:v>
      </x:c>
      <x:c r="AO74" s="3">
        <x:v>5</x:v>
      </x:c>
      <x:c r="AP74" s="3">
        <x:v>5</x:v>
      </x:c>
      <x:c r="AQ74" s="5">
        <x:v>10.81276849306437</x:v>
      </x:c>
      <x:c r="AR74" s="5">
        <x:v>10.04029489806647</x:v>
      </x:c>
      <x:c r="AS74" s="5">
        <x:f t="shared" si="7"/>
        <x:v>99.999999999999915</x:v>
      </x:c>
      <x:c r="AT74" s="5">
        <x:v>129.75322191677239</x:v>
      </x:c>
      <x:c r="AU74" s="5">
        <x:v>134.38956339995019</x:v>
      </x:c>
      <x:c r="AV74" s="5">
        <x:v>67.532268042445267</x:v>
      </x:c>
      <x:c r="AW74" s="2" t="b">
        <x:v>0</x:v>
      </x:c>
      <x:c r="AX74" s="2"/>
      <x:c r="AY74" s="2" t="s">
        <x:v>75</x:v>
      </x:c>
      <x:c r="AZ74" s="6">
        <x:v>78</x:v>
      </x:c>
      <x:c r="BA74" s="6"/>
      <x:c r="BB74" s="7"/>
      <x:c r="BC74" s="7"/>
      <x:c r="BD74" s="8"/>
      <x:c r="BE74" s="2" t="e">
        <x:f>IF(AE74="Blocked","No",IF(AJ74&lt;=[1]Model_Parameters!$B$20,"Yes","No"))</x:f>
        <x:v>#NAME?</x:v>
      </x:c>
      <x:c r="BF74" s="2" t="str">
        <x:f t="shared" si="8"/>
        <x:v>Yes</x:v>
      </x:c>
      <x:c r="BG74" s="2" t="str">
        <x:f t="shared" si="9"/>
        <x:v>Yes</x:v>
      </x:c>
      <x:c r="BH74" s="24"/>
      <x:c r="BI74" s="24"/>
    </x:row>
    <x:row r="75">
      <x:c r="A75" s="2" t="s">
        <x:v>59</x:v>
      </x:c>
      <x:c r="B75" s="3">
        <x:v>164</x:v>
      </x:c>
      <x:c r="C75" s="2" t="s">
        <x:v>349</x:v>
      </x:c>
      <x:c r="D75" s="2" t="s">
        <x:v>350</x:v>
      </x:c>
      <x:c r="E75" s="2" t="s">
        <x:v>71</x:v>
      </x:c>
      <x:c r="F75" s="2" t="s">
        <x:v>72</x:v>
      </x:c>
      <x:c r="G75" s="3">
        <x:v>66</x:v>
      </x:c>
      <x:c r="H75" s="3">
        <x:v>1</x:v>
      </x:c>
      <x:c r="I75" s="3">
        <x:v>130</x:v>
      </x:c>
      <x:c r="J75" s="4">
        <x:v>9.7879282218597069E-2</x:v>
      </x:c>
      <x:c r="K75" s="3">
        <x:v>0</x:v>
      </x:c>
      <x:c r="L75" s="2" t="s">
        <x:v>351</x:v>
      </x:c>
      <x:c r="M75" s="3">
        <x:v>1172</x:v>
      </x:c>
      <x:c r="N75" s="3">
        <x:v>79</x:v>
      </x:c>
      <x:c r="O75" s="5">
        <x:v>89.938384383666246</x:v>
      </x:c>
      <x:c r="P75" s="5">
        <x:v>17.365824878401909</x:v>
      </x:c>
      <x:c r="Q75" s="5"/>
      <x:c r="R75" s="5">
        <x:v>82.898173438130968</x:v>
      </x:c>
      <x:c r="S75" s="5">
        <x:f t="shared" si="5"/>
        <x:v>58.938735543293099</x:v>
      </x:c>
      <x:c r="T75" s="5">
        <x:f t="shared" si="6"/>
        <x:v>58.938735543293099</x:v>
      </x:c>
      <x:c r="U75" s="5" t="e">
        <x:f>T75/[1]Model_Parameters!$B$22</x:f>
        <x:v>#NAME?</x:v>
      </x:c>
      <x:c r="V75" s="5">
        <x:v>297.77347506763272</x:v>
      </x:c>
      <x:c r="W75" s="5">
        <x:v>297.77347506763272</x:v>
      </x:c>
      <x:c r="X75" s="5">
        <x:v>93.517653202929836</x:v>
      </x:c>
      <x:c r="Y75" s="3">
        <x:v>7</x:v>
      </x:c>
      <x:c r="Z75" s="3">
        <x:v>0</x:v>
      </x:c>
      <x:c r="AA75" s="3"/>
      <x:c r="AB75" s="2"/>
      <x:c r="AC75" s="3"/>
      <x:c r="AD75" s="3"/>
      <x:c r="AE75" s="2" t="s">
        <x:v>65</x:v>
      </x:c>
      <x:c r="AF75" s="3">
        <x:v>7</x:v>
      </x:c>
      <x:c r="AG75" s="3">
        <x:v>0</x:v>
      </x:c>
      <x:c r="AH75" s="2" t="s">
        <x:v>351</x:v>
      </x:c>
      <x:c r="AI75" s="3">
        <x:v>79</x:v>
      </x:c>
      <x:c r="AJ75" s="3">
        <x:v>0</x:v>
      </x:c>
      <x:c r="AK75" s="2" t="s">
        <x:v>66</x:v>
      </x:c>
      <x:c r="AL75" s="3">
        <x:v>0</x:v>
      </x:c>
      <x:c r="AM75" s="2" t="s">
        <x:v>352</x:v>
      </x:c>
      <x:c r="AN75" s="3">
        <x:v>80</x:v>
      </x:c>
      <x:c r="AO75" s="3">
        <x:v>14</x:v>
      </x:c>
      <x:c r="AP75" s="3">
        <x:v>14</x:v>
      </x:c>
      <x:c r="AQ75" s="5">
        <x:v>63.024181557890707</x:v>
      </x:c>
      <x:c r="AR75" s="5">
        <x:v>58.938735543293092</x:v>
      </x:c>
      <x:c r="AS75" s="5">
        <x:f t="shared" si="7"/>
        <x:v>99.999999999999986</x:v>
      </x:c>
      <x:c r="AT75" s="5">
        <x:v>270.10363524810299</x:v>
      </x:c>
      <x:c r="AU75" s="5">
        <x:v>297.77347506763272</x:v>
      </x:c>
      <x:c r="AV75" s="5">
        <x:v>82.898173438130968</x:v>
      </x:c>
      <x:c r="AW75" s="2" t="b">
        <x:v>0</x:v>
      </x:c>
      <x:c r="AX75" s="2"/>
      <x:c r="AY75" s="2" t="s">
        <x:v>75</x:v>
      </x:c>
      <x:c r="AZ75" s="6">
        <x:v>79</x:v>
      </x:c>
      <x:c r="BA75" s="6"/>
      <x:c r="BB75" s="7"/>
      <x:c r="BC75" s="7"/>
      <x:c r="BD75" s="8"/>
      <x:c r="BE75" s="2" t="e">
        <x:f>IF(AE75="Blocked","No",IF(AJ75&lt;=[1]Model_Parameters!$B$20,"Yes","No"))</x:f>
        <x:v>#NAME?</x:v>
      </x:c>
      <x:c r="BF75" s="2" t="str">
        <x:f t="shared" si="8"/>
        <x:v>Yes</x:v>
      </x:c>
      <x:c r="BG75" s="2" t="str">
        <x:f t="shared" si="9"/>
        <x:v>Yes</x:v>
      </x:c>
      <x:c r="BH75" s="24"/>
      <x:c r="BI75" s="24"/>
    </x:row>
    <x:row r="76">
      <x:c r="A76" s="2" t="s">
        <x:v>59</x:v>
      </x:c>
      <x:c r="B76" s="3">
        <x:v>165</x:v>
      </x:c>
      <x:c r="C76" s="2" t="s">
        <x:v>353</x:v>
      </x:c>
      <x:c r="D76" s="2" t="s">
        <x:v>354</x:v>
      </x:c>
      <x:c r="E76" s="2" t="s">
        <x:v>71</x:v>
      </x:c>
      <x:c r="F76" s="2" t="s">
        <x:v>72</x:v>
      </x:c>
      <x:c r="G76" s="3">
        <x:v>67</x:v>
      </x:c>
      <x:c r="H76" s="3">
        <x:v>1</x:v>
      </x:c>
      <x:c r="I76" s="3">
        <x:v>130</x:v>
      </x:c>
      <x:c r="J76" s="4">
        <x:v>9.7879282218597069E-2</x:v>
      </x:c>
      <x:c r="K76" s="3">
        <x:v>0</x:v>
      </x:c>
      <x:c r="L76" s="2" t="s">
        <x:v>355</x:v>
      </x:c>
      <x:c r="M76" s="3">
        <x:v>1173</x:v>
      </x:c>
      <x:c r="N76" s="3">
        <x:v>79</x:v>
      </x:c>
      <x:c r="O76" s="5">
        <x:v>100.7146940547524</x:v>
      </x:c>
      <x:c r="P76" s="5">
        <x:v>37.724450997733697</x:v>
      </x:c>
      <x:c r="Q76" s="5"/>
      <x:c r="R76" s="5">
        <x:v>57.062795181004503</x:v>
      </x:c>
      <x:c r="S76" s="5">
        <x:f t="shared" si="5"/>
        <x:v>19.476554179436199</x:v>
      </x:c>
      <x:c r="T76" s="5">
        <x:f t="shared" si="6"/>
        <x:v>19.476554179436199</x:v>
      </x:c>
      <x:c r="U76" s="5" t="e">
        <x:f>T76/[1]Model_Parameters!$B$22</x:f>
        <x:v>#NAME?</x:v>
      </x:c>
      <x:c r="V76" s="5">
        <x:v>268.86328158028482</x:v>
      </x:c>
      <x:c r="W76" s="5">
        <x:v>268.86328158028482</x:v>
      </x:c>
      <x:c r="X76" s="5">
        <x:v>94.121985109421544</x:v>
      </x:c>
      <x:c r="Y76" s="3">
        <x:v>8</x:v>
      </x:c>
      <x:c r="Z76" s="3">
        <x:v>0</x:v>
      </x:c>
      <x:c r="AA76" s="3"/>
      <x:c r="AB76" s="2"/>
      <x:c r="AC76" s="3"/>
      <x:c r="AD76" s="3"/>
      <x:c r="AE76" s="2" t="s">
        <x:v>65</x:v>
      </x:c>
      <x:c r="AF76" s="3">
        <x:v>9</x:v>
      </x:c>
      <x:c r="AG76" s="3">
        <x:v>0</x:v>
      </x:c>
      <x:c r="AH76" s="2" t="s">
        <x:v>355</x:v>
      </x:c>
      <x:c r="AI76" s="3">
        <x:v>79</x:v>
      </x:c>
      <x:c r="AJ76" s="3">
        <x:v>0</x:v>
      </x:c>
      <x:c r="AK76" s="2" t="s">
        <x:v>66</x:v>
      </x:c>
      <x:c r="AL76" s="3">
        <x:v>0</x:v>
      </x:c>
      <x:c r="AM76" s="2" t="s">
        <x:v>356</x:v>
      </x:c>
      <x:c r="AN76" s="3">
        <x:v>79</x:v>
      </x:c>
      <x:c r="AO76" s="3">
        <x:v>5</x:v>
      </x:c>
      <x:c r="AP76" s="3">
        <x:v>5</x:v>
      </x:c>
      <x:c r="AQ76" s="5">
        <x:v>20.692885043588621</x:v>
      </x:c>
      <x:c r="AR76" s="5">
        <x:v>19.476554179436189</x:v>
      </x:c>
      <x:c r="AS76" s="5">
        <x:f t="shared" si="7"/>
        <x:v>99.999999999999943</x:v>
      </x:c>
      <x:c r="AT76" s="5">
        <x:v>248.31462052306341</x:v>
      </x:c>
      <x:c r="AU76" s="5">
        <x:v>268.86328158028488</x:v>
      </x:c>
      <x:c r="AV76" s="5">
        <x:v>57.062795181004503</x:v>
      </x:c>
      <x:c r="AW76" s="2" t="b">
        <x:v>0</x:v>
      </x:c>
      <x:c r="AX76" s="2"/>
      <x:c r="AY76" s="2" t="s">
        <x:v>75</x:v>
      </x:c>
      <x:c r="AZ76" s="6">
        <x:v>79</x:v>
      </x:c>
      <x:c r="BA76" s="6"/>
      <x:c r="BB76" s="7"/>
      <x:c r="BC76" s="7"/>
      <x:c r="BD76" s="8"/>
      <x:c r="BE76" s="2" t="e">
        <x:f>IF(AE76="Blocked","No",IF(AJ76&lt;=[1]Model_Parameters!$B$20,"Yes","No"))</x:f>
        <x:v>#NAME?</x:v>
      </x:c>
      <x:c r="BF76" s="2" t="str">
        <x:f t="shared" si="8"/>
        <x:v>Yes</x:v>
      </x:c>
      <x:c r="BG76" s="2" t="str">
        <x:f t="shared" si="9"/>
        <x:v>Yes</x:v>
      </x:c>
      <x:c r="BH76" s="24"/>
      <x:c r="BI76" s="24"/>
    </x:row>
    <x:row r="77">
      <x:c r="A77" s="2" t="s">
        <x:v>59</x:v>
      </x:c>
      <x:c r="B77" s="3">
        <x:v>168</x:v>
      </x:c>
      <x:c r="C77" s="2" t="s">
        <x:v>357</x:v>
      </x:c>
      <x:c r="D77" s="2" t="s">
        <x:v>358</x:v>
      </x:c>
      <x:c r="E77" s="2" t="s">
        <x:v>71</x:v>
      </x:c>
      <x:c r="F77" s="2" t="s">
        <x:v>72</x:v>
      </x:c>
      <x:c r="G77" s="3">
        <x:v>68</x:v>
      </x:c>
      <x:c r="H77" s="3">
        <x:v>1</x:v>
      </x:c>
      <x:c r="I77" s="3">
        <x:v>130</x:v>
      </x:c>
      <x:c r="J77" s="4">
        <x:v>9.7879282218597069E-2</x:v>
      </x:c>
      <x:c r="K77" s="3">
        <x:v>0</x:v>
      </x:c>
      <x:c r="L77" s="2" t="s">
        <x:v>359</x:v>
      </x:c>
      <x:c r="M77" s="3">
        <x:v>1179</x:v>
      </x:c>
      <x:c r="N77" s="3">
        <x:v>79</x:v>
      </x:c>
      <x:c r="O77" s="5">
        <x:v>92.881034485802118</x:v>
      </x:c>
      <x:c r="P77" s="5">
        <x:v>17.586244150382271</x:v>
      </x:c>
      <x:c r="Q77" s="5"/>
      <x:c r="R77" s="5">
        <x:v>81.507157579505702</x:v>
      </x:c>
      <x:c r="S77" s="5">
        <x:f t="shared" si="5"/>
        <x:v>59.370405645743851</x:v>
      </x:c>
      <x:c r="T77" s="5">
        <x:f t="shared" si="6"/>
        <x:v>59.370405645743851</x:v>
      </x:c>
      <x:c r="U77" s="5" t="e">
        <x:f>T77/[1]Model_Parameters!$B$22</x:f>
        <x:v>#NAME?</x:v>
      </x:c>
      <x:c r="V77" s="5">
        <x:v>249.7975041066062</x:v>
      </x:c>
      <x:c r="W77" s="5">
        <x:v>249.7975041066062</x:v>
      </x:c>
      <x:c r="X77" s="5">
        <x:v>91.78709845662712</x:v>
      </x:c>
      <x:c r="Y77" s="3">
        <x:v>7</x:v>
      </x:c>
      <x:c r="Z77" s="3">
        <x:v>0</x:v>
      </x:c>
      <x:c r="AA77" s="3"/>
      <x:c r="AB77" s="2"/>
      <x:c r="AC77" s="3"/>
      <x:c r="AD77" s="3"/>
      <x:c r="AE77" s="2" t="s">
        <x:v>65</x:v>
      </x:c>
      <x:c r="AF77" s="3">
        <x:v>4</x:v>
      </x:c>
      <x:c r="AG77" s="3">
        <x:v>0</x:v>
      </x:c>
      <x:c r="AH77" s="2" t="s">
        <x:v>359</x:v>
      </x:c>
      <x:c r="AI77" s="3">
        <x:v>79</x:v>
      </x:c>
      <x:c r="AJ77" s="3">
        <x:v>0</x:v>
      </x:c>
      <x:c r="AK77" s="2" t="s">
        <x:v>66</x:v>
      </x:c>
      <x:c r="AL77" s="3">
        <x:v>0</x:v>
      </x:c>
      <x:c r="AM77" s="2" t="s">
        <x:v>360</x:v>
      </x:c>
      <x:c r="AN77" s="3">
        <x:v>80</x:v>
      </x:c>
      <x:c r="AO77" s="3">
        <x:v>17</x:v>
      </x:c>
      <x:c r="AP77" s="3">
        <x:v>17</x:v>
      </x:c>
      <x:c r="AQ77" s="5">
        <x:v>64.682734985678437</x:v>
      </x:c>
      <x:c r="AR77" s="5">
        <x:v>59.370405645743837</x:v>
      </x:c>
      <x:c r="AS77" s="5">
        <x:f t="shared" si="7"/>
        <x:v>99.999999999999972</x:v>
      </x:c>
      <x:c r="AT77" s="5">
        <x:v>228.29200583180631</x:v>
      </x:c>
      <x:c r="AU77" s="5">
        <x:v>249.7975041066062</x:v>
      </x:c>
      <x:c r="AV77" s="5">
        <x:v>81.507157579505702</x:v>
      </x:c>
      <x:c r="AW77" s="2" t="b">
        <x:v>0</x:v>
      </x:c>
      <x:c r="AX77" s="2"/>
      <x:c r="AY77" s="2" t="s">
        <x:v>75</x:v>
      </x:c>
      <x:c r="AZ77" s="6">
        <x:v>79</x:v>
      </x:c>
      <x:c r="BA77" s="6"/>
      <x:c r="BB77" s="7"/>
      <x:c r="BC77" s="7"/>
      <x:c r="BD77" s="8"/>
      <x:c r="BE77" s="2" t="e">
        <x:f>IF(AE77="Blocked","No",IF(AJ77&lt;=[1]Model_Parameters!$B$20,"Yes","No"))</x:f>
        <x:v>#NAME?</x:v>
      </x:c>
      <x:c r="BF77" s="2" t="str">
        <x:f t="shared" si="8"/>
        <x:v>Yes</x:v>
      </x:c>
      <x:c r="BG77" s="2" t="str">
        <x:f t="shared" si="9"/>
        <x:v>Yes</x:v>
      </x:c>
      <x:c r="BH77" s="24"/>
      <x:c r="BI77" s="24"/>
    </x:row>
    <x:row r="78">
      <x:c r="A78" s="2" t="s">
        <x:v>59</x:v>
      </x:c>
      <x:c r="B78" s="3">
        <x:v>175</x:v>
      </x:c>
      <x:c r="C78" s="2" t="s">
        <x:v>361</x:v>
      </x:c>
      <x:c r="D78" s="2" t="s">
        <x:v>362</x:v>
      </x:c>
      <x:c r="E78" s="2" t="s">
        <x:v>71</x:v>
      </x:c>
      <x:c r="F78" s="2" t="s">
        <x:v>72</x:v>
      </x:c>
      <x:c r="G78" s="3">
        <x:v>69</x:v>
      </x:c>
      <x:c r="H78" s="3">
        <x:v>1</x:v>
      </x:c>
      <x:c r="I78" s="3">
        <x:v>130</x:v>
      </x:c>
      <x:c r="J78" s="4">
        <x:v>9.7879282218597069E-2</x:v>
      </x:c>
      <x:c r="K78" s="3">
        <x:v>0</x:v>
      </x:c>
      <x:c r="L78" s="2" t="s">
        <x:v>363</x:v>
      </x:c>
      <x:c r="M78" s="3">
        <x:v>1188</x:v>
      </x:c>
      <x:c r="N78" s="3">
        <x:v>80</x:v>
      </x:c>
      <x:c r="O78" s="5">
        <x:v>82.958023053274232</x:v>
      </x:c>
      <x:c r="P78" s="5">
        <x:v>45.578427642959618</x:v>
      </x:c>
      <x:c r="Q78" s="5"/>
      <x:c r="R78" s="5">
        <x:v>52.47820635189678</x:v>
      </x:c>
      <x:c r="S78" s="5">
        <x:f t="shared" si="5"/>
        <x:v>5.7239200119849984</x:v>
      </x:c>
      <x:c r="T78" s="5">
        <x:f t="shared" si="6"/>
        <x:v>5.7239200119849984</x:v>
      </x:c>
      <x:c r="U78" s="5" t="e">
        <x:f>T78/[1]Model_Parameters!$B$22</x:f>
        <x:v>#NAME?</x:v>
      </x:c>
      <x:c r="V78" s="5">
        <x:v>170.3623612180628</x:v>
      </x:c>
      <x:c r="W78" s="5">
        <x:v>170.3623612180628</x:v>
      </x:c>
      <x:c r="X78" s="5">
        <x:v>92.286282650818691</x:v>
      </x:c>
      <x:c r="Y78" s="3">
        <x:v>10</x:v>
      </x:c>
      <x:c r="Z78" s="3">
        <x:v>2</x:v>
      </x:c>
      <x:c r="AA78" s="3">
        <x:v>3</x:v>
      </x:c>
      <x:c r="AB78" s="2"/>
      <x:c r="AC78" s="3"/>
      <x:c r="AD78" s="3"/>
      <x:c r="AE78" s="2" t="s">
        <x:v>136</x:v>
      </x:c>
      <x:c r="AF78" s="3">
        <x:v>1</x:v>
      </x:c>
      <x:c r="AG78" s="3">
        <x:v>0</x:v>
      </x:c>
      <x:c r="AH78" s="2" t="s">
        <x:v>364</x:v>
      </x:c>
      <x:c r="AI78" s="3">
        <x:v>80</x:v>
      </x:c>
      <x:c r="AJ78" s="3">
        <x:v>7</x:v>
      </x:c>
      <x:c r="AK78" s="2" t="s">
        <x:v>66</x:v>
      </x:c>
      <x:c r="AL78" s="3">
        <x:v>0</x:v>
      </x:c>
      <x:c r="AM78" s="2" t="s">
        <x:v>365</x:v>
      </x:c>
      <x:c r="AN78" s="3">
        <x:v>80</x:v>
      </x:c>
      <x:c r="AO78" s="3">
        <x:v>3</x:v>
      </x:c>
      <x:c r="AP78" s="3">
        <x:v>10</x:v>
      </x:c>
      <x:c r="AQ78" s="5">
        <x:v>6.2023519071002644</x:v>
      </x:c>
      <x:c r="AR78" s="5">
        <x:v>5.7239200119849931</x:v>
      </x:c>
      <x:c r="AS78" s="5">
        <x:f t="shared" si="7"/>
        <x:v>99.999999999999915</x:v>
      </x:c>
      <x:c r="AT78" s="5">
        <x:v>124.04703814200531</x:v>
      </x:c>
      <x:c r="AU78" s="5">
        <x:v>170.3623612180628</x:v>
      </x:c>
      <x:c r="AV78" s="5">
        <x:v>52.47820635189678</x:v>
      </x:c>
      <x:c r="AW78" s="2" t="b">
        <x:v>0</x:v>
      </x:c>
      <x:c r="AX78" s="2"/>
      <x:c r="AY78" s="2" t="s">
        <x:v>75</x:v>
      </x:c>
      <x:c r="AZ78" s="6">
        <x:v>80</x:v>
      </x:c>
      <x:c r="BA78" s="6"/>
      <x:c r="BB78" s="7"/>
      <x:c r="BC78" s="7"/>
      <x:c r="BD78" s="8"/>
      <x:c r="BE78" s="2" t="e">
        <x:f>IF(AE78="Blocked","No",IF(AJ78&lt;=[1]Model_Parameters!$B$20,"Yes","No"))</x:f>
        <x:v>#NAME?</x:v>
      </x:c>
      <x:c r="BF78" s="2" t="str">
        <x:f t="shared" si="8"/>
        <x:v>Yes</x:v>
      </x:c>
      <x:c r="BG78" s="2" t="str">
        <x:f t="shared" si="9"/>
        <x:v>Yes</x:v>
      </x:c>
      <x:c r="BH78" s="24"/>
      <x:c r="BI78" s="24"/>
    </x:row>
    <x:row r="79">
      <x:c r="A79" s="2" t="s">
        <x:v>59</x:v>
      </x:c>
      <x:c r="B79" s="3">
        <x:v>177</x:v>
      </x:c>
      <x:c r="C79" s="2" t="s">
        <x:v>366</x:v>
      </x:c>
      <x:c r="D79" s="2" t="s">
        <x:v>367</x:v>
      </x:c>
      <x:c r="E79" s="2" t="s">
        <x:v>71</x:v>
      </x:c>
      <x:c r="F79" s="2" t="s">
        <x:v>72</x:v>
      </x:c>
      <x:c r="G79" s="3">
        <x:v>70</x:v>
      </x:c>
      <x:c r="H79" s="3">
        <x:v>1</x:v>
      </x:c>
      <x:c r="I79" s="3">
        <x:v>130</x:v>
      </x:c>
      <x:c r="J79" s="4">
        <x:v>9.7879282218597069E-2</x:v>
      </x:c>
      <x:c r="K79" s="3">
        <x:v>0</x:v>
      </x:c>
      <x:c r="L79" s="2" t="s">
        <x:v>368</x:v>
      </x:c>
      <x:c r="M79" s="3">
        <x:v>1191</x:v>
      </x:c>
      <x:c r="N79" s="3">
        <x:v>80</x:v>
      </x:c>
      <x:c r="O79" s="5">
        <x:v>78.706219427071844</x:v>
      </x:c>
      <x:c r="P79" s="5">
        <x:v>25.532924259421581</x:v>
      </x:c>
      <x:c r="Q79" s="5"/>
      <x:c r="R79" s="5">
        <x:v>74.581489779161714</x:v>
      </x:c>
      <x:c r="S79" s="5">
        <x:f t="shared" si="5"/>
        <x:v>38.604271603797777</x:v>
      </x:c>
      <x:c r="T79" s="5">
        <x:f t="shared" si="6"/>
        <x:v>38.604271603797777</x:v>
      </x:c>
      <x:c r="U79" s="5" t="e">
        <x:f>T79/[1]Model_Parameters!$B$22</x:f>
        <x:v>#NAME?</x:v>
      </x:c>
      <x:c r="V79" s="5">
        <x:v>416.46587855798248</x:v>
      </x:c>
      <x:c r="W79" s="5">
        <x:v>416.46587855798248</x:v>
      </x:c>
      <x:c r="X79" s="5">
        <x:v>92.305950190547776</x:v>
      </x:c>
      <x:c r="Y79" s="3">
        <x:v>10</x:v>
      </x:c>
      <x:c r="Z79" s="3">
        <x:v>2</x:v>
      </x:c>
      <x:c r="AA79" s="3">
        <x:v>3</x:v>
      </x:c>
      <x:c r="AB79" s="2"/>
      <x:c r="AC79" s="3"/>
      <x:c r="AD79" s="3"/>
      <x:c r="AE79" s="2" t="s">
        <x:v>136</x:v>
      </x:c>
      <x:c r="AF79" s="3">
        <x:v>4</x:v>
      </x:c>
      <x:c r="AG79" s="3">
        <x:v>0</x:v>
      </x:c>
      <x:c r="AH79" s="2" t="s">
        <x:v>360</x:v>
      </x:c>
      <x:c r="AI79" s="3">
        <x:v>80</x:v>
      </x:c>
      <x:c r="AJ79" s="3">
        <x:v>5</x:v>
      </x:c>
      <x:c r="AK79" s="2" t="s">
        <x:v>66</x:v>
      </x:c>
      <x:c r="AL79" s="3">
        <x:v>0</x:v>
      </x:c>
      <x:c r="AM79" s="2" t="s">
        <x:v>369</x:v>
      </x:c>
      <x:c r="AN79" s="3">
        <x:v>81</x:v>
      </x:c>
      <x:c r="AO79" s="3">
        <x:v>7</x:v>
      </x:c>
      <x:c r="AP79" s="3">
        <x:v>12</x:v>
      </x:c>
      <x:c r="AQ79" s="5">
        <x:v>41.82208354294248</x:v>
      </x:c>
      <x:c r="AR79" s="5">
        <x:v>38.604271603797763</x:v>
      </x:c>
      <x:c r="AS79" s="5">
        <x:f t="shared" si="7"/>
        <x:v>99.999999999999972</x:v>
      </x:c>
      <x:c r="AT79" s="5">
        <x:v>358.47500179664979</x:v>
      </x:c>
      <x:c r="AU79" s="5">
        <x:v>416.46587855798248</x:v>
      </x:c>
      <x:c r="AV79" s="5">
        <x:v>74.581489779161714</x:v>
      </x:c>
      <x:c r="AW79" s="2" t="b">
        <x:v>0</x:v>
      </x:c>
      <x:c r="AX79" s="2"/>
      <x:c r="AY79" s="2" t="s">
        <x:v>75</x:v>
      </x:c>
      <x:c r="AZ79" s="6">
        <x:v>80</x:v>
      </x:c>
      <x:c r="BA79" s="6"/>
      <x:c r="BB79" s="7"/>
      <x:c r="BC79" s="7"/>
      <x:c r="BD79" s="8"/>
      <x:c r="BE79" s="2" t="e">
        <x:f>IF(AE79="Blocked","No",IF(AJ79&lt;=[1]Model_Parameters!$B$20,"Yes","No"))</x:f>
        <x:v>#NAME?</x:v>
      </x:c>
      <x:c r="BF79" s="2" t="str">
        <x:f t="shared" si="8"/>
        <x:v>Yes</x:v>
      </x:c>
      <x:c r="BG79" s="2" t="str">
        <x:f t="shared" si="9"/>
        <x:v>Yes</x:v>
      </x:c>
      <x:c r="BH79" s="24"/>
      <x:c r="BI79" s="24"/>
    </x:row>
    <x:row r="80">
      <x:c r="A80" s="2" t="s">
        <x:v>59</x:v>
      </x:c>
      <x:c r="B80" s="3">
        <x:v>178</x:v>
      </x:c>
      <x:c r="C80" s="2" t="s">
        <x:v>370</x:v>
      </x:c>
      <x:c r="D80" s="2" t="s">
        <x:v>371</x:v>
      </x:c>
      <x:c r="E80" s="2" t="s">
        <x:v>71</x:v>
      </x:c>
      <x:c r="F80" s="2" t="s">
        <x:v>72</x:v>
      </x:c>
      <x:c r="G80" s="3">
        <x:v>71</x:v>
      </x:c>
      <x:c r="H80" s="3">
        <x:v>1</x:v>
      </x:c>
      <x:c r="I80" s="3">
        <x:v>130</x:v>
      </x:c>
      <x:c r="J80" s="4">
        <x:v>9.7879282218597069E-2</x:v>
      </x:c>
      <x:c r="K80" s="3">
        <x:v>0</x:v>
      </x:c>
      <x:c r="L80" s="2" t="s">
        <x:v>368</x:v>
      </x:c>
      <x:c r="M80" s="3">
        <x:v>1191</x:v>
      </x:c>
      <x:c r="N80" s="3">
        <x:v>80</x:v>
      </x:c>
      <x:c r="O80" s="5">
        <x:v>74.421842577899596</x:v>
      </x:c>
      <x:c r="P80" s="5">
        <x:v>36.098672940062983</x:v>
      </x:c>
      <x:c r="Q80" s="5"/>
      <x:c r="R80" s="5">
        <x:v>81.35505494731251</x:v>
      </x:c>
      <x:c r="S80" s="5">
        <x:f t="shared" si="5"/>
        <x:v>33.680633373888121</x:v>
      </x:c>
      <x:c r="T80" s="5">
        <x:f t="shared" si="6"/>
        <x:v>33.680633373888121</x:v>
      </x:c>
      <x:c r="U80" s="5" t="e">
        <x:f>T80/[1]Model_Parameters!$B$22</x:f>
        <x:v>#NAME?</x:v>
      </x:c>
      <x:c r="V80" s="5">
        <x:v>316.6235730991441</x:v>
      </x:c>
      <x:c r="W80" s="5">
        <x:v>316.6235730991441</x:v>
      </x:c>
      <x:c r="X80" s="5">
        <x:v>94.80532499498068</x:v>
      </x:c>
      <x:c r="Y80" s="3">
        <x:v>10</x:v>
      </x:c>
      <x:c r="Z80" s="3">
        <x:v>3</x:v>
      </x:c>
      <x:c r="AA80" s="3">
        <x:v>4</x:v>
      </x:c>
      <x:c r="AB80" s="2"/>
      <x:c r="AC80" s="3"/>
      <x:c r="AD80" s="3"/>
      <x:c r="AE80" s="2" t="s">
        <x:v>136</x:v>
      </x:c>
      <x:c r="AF80" s="3">
        <x:v>1</x:v>
      </x:c>
      <x:c r="AG80" s="3">
        <x:v>0</x:v>
      </x:c>
      <x:c r="AH80" s="2" t="s">
        <x:v>365</x:v>
      </x:c>
      <x:c r="AI80" s="3">
        <x:v>80</x:v>
      </x:c>
      <x:c r="AJ80" s="3">
        <x:v>7</x:v>
      </x:c>
      <x:c r="AK80" s="2" t="s">
        <x:v>66</x:v>
      </x:c>
      <x:c r="AL80" s="3">
        <x:v>0</x:v>
      </x:c>
      <x:c r="AM80" s="2" t="s">
        <x:v>372</x:v>
      </x:c>
      <x:c r="AN80" s="3">
        <x:v>81</x:v>
      </x:c>
      <x:c r="AO80" s="3">
        <x:v>8</x:v>
      </x:c>
      <x:c r="AP80" s="3">
        <x:v>15</x:v>
      </x:c>
      <x:c r="AQ80" s="5">
        <x:v>35.526098745688913</x:v>
      </x:c>
      <x:c r="AR80" s="5">
        <x:v>33.680633373888142</x:v>
      </x:c>
      <x:c r="AS80" s="5">
        <x:f t="shared" si="7"/>
        <x:v>100.00000000000007</x:v>
      </x:c>
      <x:c r="AT80" s="5">
        <x:v>266.44574059266682</x:v>
      </x:c>
      <x:c r="AU80" s="5">
        <x:v>316.6235730991441</x:v>
      </x:c>
      <x:c r="AV80" s="5">
        <x:v>81.35505494731251</x:v>
      </x:c>
      <x:c r="AW80" s="2" t="b">
        <x:v>0</x:v>
      </x:c>
      <x:c r="AX80" s="2"/>
      <x:c r="AY80" s="2" t="s">
        <x:v>75</x:v>
      </x:c>
      <x:c r="AZ80" s="6">
        <x:v>80</x:v>
      </x:c>
      <x:c r="BA80" s="6"/>
      <x:c r="BB80" s="7"/>
      <x:c r="BC80" s="7"/>
      <x:c r="BD80" s="8"/>
      <x:c r="BE80" s="2" t="e">
        <x:f>IF(AE80="Blocked","No",IF(AJ80&lt;=[1]Model_Parameters!$B$20,"Yes","No"))</x:f>
        <x:v>#NAME?</x:v>
      </x:c>
      <x:c r="BF80" s="2" t="str">
        <x:f t="shared" si="8"/>
        <x:v>Yes</x:v>
      </x:c>
      <x:c r="BG80" s="2" t="str">
        <x:f t="shared" si="9"/>
        <x:v>Yes</x:v>
      </x:c>
      <x:c r="BH80" s="24"/>
      <x:c r="BI80" s="24"/>
    </x:row>
    <x:row r="81">
      <x:c r="A81" s="2" t="s">
        <x:v>59</x:v>
      </x:c>
      <x:c r="B81" s="3">
        <x:v>179</x:v>
      </x:c>
      <x:c r="C81" s="2" t="s">
        <x:v>373</x:v>
      </x:c>
      <x:c r="D81" s="2" t="s">
        <x:v>374</x:v>
      </x:c>
      <x:c r="E81" s="2" t="s">
        <x:v>71</x:v>
      </x:c>
      <x:c r="F81" s="2" t="s">
        <x:v>72</x:v>
      </x:c>
      <x:c r="G81" s="3">
        <x:v>72</x:v>
      </x:c>
      <x:c r="H81" s="3">
        <x:v>1</x:v>
      </x:c>
      <x:c r="I81" s="3">
        <x:v>130</x:v>
      </x:c>
      <x:c r="J81" s="4">
        <x:v>9.7879282218597069E-2</x:v>
      </x:c>
      <x:c r="K81" s="3">
        <x:v>0</x:v>
      </x:c>
      <x:c r="L81" s="2" t="s">
        <x:v>375</x:v>
      </x:c>
      <x:c r="M81" s="3">
        <x:v>1192</x:v>
      </x:c>
      <x:c r="N81" s="3">
        <x:v>80</x:v>
      </x:c>
      <x:c r="O81" s="5">
        <x:v>102.3942585084163</x:v>
      </x:c>
      <x:c r="P81" s="5">
        <x:v>35.372166439230199</x:v>
      </x:c>
      <x:c r="Q81" s="5"/>
      <x:c r="R81" s="5">
        <x:v>88.890067470297083</x:v>
      </x:c>
      <x:c r="S81" s="5">
        <x:f t="shared" si="5"/>
        <x:v>54.799257930029015</x:v>
      </x:c>
      <x:c r="T81" s="5">
        <x:f t="shared" si="6"/>
        <x:v>54.799257930029015</x:v>
      </x:c>
      <x:c r="U81" s="5" t="e">
        <x:f>T81/[1]Model_Parameters!$B$22</x:f>
        <x:v>#NAME?</x:v>
      </x:c>
      <x:c r="V81" s="5">
        <x:v>189.1588530452874</x:v>
      </x:c>
      <x:c r="W81" s="5">
        <x:v>189.1588530452874</x:v>
      </x:c>
      <x:c r="X81" s="5">
        <x:v>93.54190739409259</x:v>
      </x:c>
      <x:c r="Y81" s="3">
        <x:v>10</x:v>
      </x:c>
      <x:c r="Z81" s="3">
        <x:v>4</x:v>
      </x:c>
      <x:c r="AA81" s="3">
        <x:v>5</x:v>
      </x:c>
      <x:c r="AB81" s="2"/>
      <x:c r="AC81" s="3"/>
      <x:c r="AD81" s="3"/>
      <x:c r="AE81" s="2" t="s">
        <x:v>136</x:v>
      </x:c>
      <x:c r="AF81" s="3">
        <x:v>7</x:v>
      </x:c>
      <x:c r="AG81" s="3">
        <x:v>0</x:v>
      </x:c>
      <x:c r="AH81" s="2" t="s">
        <x:v>376</x:v>
      </x:c>
      <x:c r="AI81" s="3">
        <x:v>81</x:v>
      </x:c>
      <x:c r="AJ81" s="3">
        <x:v>8</x:v>
      </x:c>
      <x:c r="AK81" s="2" t="s">
        <x:v>66</x:v>
      </x:c>
      <x:c r="AL81" s="3">
        <x:v>0</x:v>
      </x:c>
      <x:c r="AM81" s="2" t="s">
        <x:v>377</x:v>
      </x:c>
      <x:c r="AN81" s="3">
        <x:v>82</x:v>
      </x:c>
      <x:c r="AO81" s="3">
        <x:v>25</x:v>
      </x:c>
      <x:c r="AP81" s="3">
        <x:v>33</x:v>
      </x:c>
      <x:c r="AQ81" s="5">
        <x:v>58.582574865786533</x:v>
      </x:c>
      <x:c r="AR81" s="5">
        <x:v>54.799257930028993</x:v>
      </x:c>
      <x:c r="AS81" s="5">
        <x:f t="shared" si="7"/>
        <x:v>99.999999999999957</x:v>
      </x:c>
      <x:c r="AT81" s="5">
        <x:v>140.59817967788771</x:v>
      </x:c>
      <x:c r="AU81" s="5">
        <x:v>189.1588530452874</x:v>
      </x:c>
      <x:c r="AV81" s="5">
        <x:v>88.890067470297083</x:v>
      </x:c>
      <x:c r="AW81" s="2" t="b">
        <x:v>0</x:v>
      </x:c>
      <x:c r="AX81" s="2"/>
      <x:c r="AY81" s="2" t="s">
        <x:v>75</x:v>
      </x:c>
      <x:c r="AZ81" s="6">
        <x:v>80</x:v>
      </x:c>
      <x:c r="BA81" s="6"/>
      <x:c r="BB81" s="7"/>
      <x:c r="BC81" s="7"/>
      <x:c r="BD81" s="8"/>
      <x:c r="BE81" s="2" t="e">
        <x:f>IF(AE81="Blocked","No",IF(AJ81&lt;=[1]Model_Parameters!$B$20,"Yes","No"))</x:f>
        <x:v>#NAME?</x:v>
      </x:c>
      <x:c r="BF81" s="2" t="str">
        <x:f t="shared" si="8"/>
        <x:v>Yes</x:v>
      </x:c>
      <x:c r="BG81" s="2" t="str">
        <x:f t="shared" si="9"/>
        <x:v>Yes</x:v>
      </x:c>
      <x:c r="BH81" s="24"/>
      <x:c r="BI81" s="24"/>
    </x:row>
    <x:row r="82">
      <x:c r="A82" s="2" t="s">
        <x:v>59</x:v>
      </x:c>
      <x:c r="B82" s="3">
        <x:v>180</x:v>
      </x:c>
      <x:c r="C82" s="2" t="s">
        <x:v>378</x:v>
      </x:c>
      <x:c r="D82" s="2" t="s">
        <x:v>379</x:v>
      </x:c>
      <x:c r="E82" s="2" t="s">
        <x:v>71</x:v>
      </x:c>
      <x:c r="F82" s="2" t="s">
        <x:v>72</x:v>
      </x:c>
      <x:c r="G82" s="3">
        <x:v>73</x:v>
      </x:c>
      <x:c r="H82" s="3">
        <x:v>1</x:v>
      </x:c>
      <x:c r="I82" s="3">
        <x:v>130</x:v>
      </x:c>
      <x:c r="J82" s="4">
        <x:v>9.7879282218597069E-2</x:v>
      </x:c>
      <x:c r="K82" s="3">
        <x:v>0</x:v>
      </x:c>
      <x:c r="L82" s="2" t="s">
        <x:v>380</x:v>
      </x:c>
      <x:c r="M82" s="3">
        <x:v>1193</x:v>
      </x:c>
      <x:c r="N82" s="3">
        <x:v>80</x:v>
      </x:c>
      <x:c r="O82" s="5">
        <x:v>122.4843501533737</x:v>
      </x:c>
      <x:c r="P82" s="5">
        <x:v>37.583750690197142</x:v>
      </x:c>
      <x:c r="Q82" s="5"/>
      <x:c r="R82" s="5">
        <x:v>91.222597341223718</x:v>
      </x:c>
      <x:c r="S82" s="5">
        <x:f t="shared" si="5"/>
        <x:v>65.699192750274548</x:v>
      </x:c>
      <x:c r="T82" s="5">
        <x:f t="shared" si="6"/>
        <x:v>65.699192750274548</x:v>
      </x:c>
      <x:c r="U82" s="5" t="e">
        <x:f>T82/[1]Model_Parameters!$B$22</x:f>
        <x:v>#NAME?</x:v>
      </x:c>
      <x:c r="V82" s="5">
        <x:v>405.38888322810601</x:v>
      </x:c>
      <x:c r="W82" s="5">
        <x:v>405.38888322810601</x:v>
      </x:c>
      <x:c r="X82" s="5">
        <x:v>91.129958823396734</x:v>
      </x:c>
      <x:c r="Y82" s="3">
        <x:v>10</x:v>
      </x:c>
      <x:c r="Z82" s="3">
        <x:v>5</x:v>
      </x:c>
      <x:c r="AA82" s="3">
        <x:v>6</x:v>
      </x:c>
      <x:c r="AB82" s="2"/>
      <x:c r="AC82" s="3"/>
      <x:c r="AD82" s="3"/>
      <x:c r="AE82" s="2" t="s">
        <x:v>136</x:v>
      </x:c>
      <x:c r="AF82" s="3">
        <x:v>9</x:v>
      </x:c>
      <x:c r="AG82" s="3">
        <x:v>0</x:v>
      </x:c>
      <x:c r="AH82" s="2" t="s">
        <x:v>381</x:v>
      </x:c>
      <x:c r="AI82" s="3">
        <x:v>81</x:v>
      </x:c>
      <x:c r="AJ82" s="3">
        <x:v>8</x:v>
      </x:c>
      <x:c r="AK82" s="2" t="s">
        <x:v>66</x:v>
      </x:c>
      <x:c r="AL82" s="3">
        <x:v>0</x:v>
      </x:c>
      <x:c r="AM82" s="2" t="s">
        <x:v>382</x:v>
      </x:c>
      <x:c r="AN82" s="3">
        <x:v>82</x:v>
      </x:c>
      <x:c r="AO82" s="3">
        <x:v>16</x:v>
      </x:c>
      <x:c r="AP82" s="3">
        <x:v>24</x:v>
      </x:c>
      <x:c r="AQ82" s="5">
        <x:v>72.09395636575978</x:v>
      </x:c>
      <x:c r="AR82" s="5">
        <x:v>65.69919275027452</x:v>
      </x:c>
      <x:c r="AS82" s="5">
        <x:f t="shared" si="7"/>
        <x:v>99.999999999999957</x:v>
      </x:c>
      <x:c r="AT82" s="5">
        <x:v>270.35233637159922</x:v>
      </x:c>
      <x:c r="AU82" s="5">
        <x:v>405.38888322810601</x:v>
      </x:c>
      <x:c r="AV82" s="5">
        <x:v>91.222597341223718</x:v>
      </x:c>
      <x:c r="AW82" s="2" t="b">
        <x:v>0</x:v>
      </x:c>
      <x:c r="AX82" s="2"/>
      <x:c r="AY82" s="2" t="s">
        <x:v>75</x:v>
      </x:c>
      <x:c r="AZ82" s="6">
        <x:v>80</x:v>
      </x:c>
      <x:c r="BA82" s="6"/>
      <x:c r="BB82" s="7"/>
      <x:c r="BC82" s="7"/>
      <x:c r="BD82" s="8"/>
      <x:c r="BE82" s="2" t="e">
        <x:f>IF(AE82="Blocked","No",IF(AJ82&lt;=[1]Model_Parameters!$B$20,"Yes","No"))</x:f>
        <x:v>#NAME?</x:v>
      </x:c>
      <x:c r="BF82" s="2" t="str">
        <x:f t="shared" si="8"/>
        <x:v>Yes</x:v>
      </x:c>
      <x:c r="BG82" s="2" t="str">
        <x:f t="shared" si="9"/>
        <x:v>Yes</x:v>
      </x:c>
      <x:c r="BH82" s="24"/>
      <x:c r="BI82" s="24"/>
    </x:row>
    <x:row r="83">
      <x:c r="A83" s="2" t="s">
        <x:v>59</x:v>
      </x:c>
      <x:c r="B83" s="3">
        <x:v>182</x:v>
      </x:c>
      <x:c r="C83" s="2" t="s">
        <x:v>383</x:v>
      </x:c>
      <x:c r="D83" s="2" t="s">
        <x:v>384</x:v>
      </x:c>
      <x:c r="E83" s="2" t="s">
        <x:v>62</x:v>
      </x:c>
      <x:c r="F83" s="2" t="s">
        <x:v>63</x:v>
      </x:c>
      <x:c r="G83" s="3">
        <x:v>9</x:v>
      </x:c>
      <x:c r="H83" s="3">
        <x:v>1</x:v>
      </x:c>
      <x:c r="I83" s="3">
        <x:v>20</x:v>
      </x:c>
      <x:c r="J83" s="4">
        <x:v>4.1152263374485597E-2</x:v>
      </x:c>
      <x:c r="K83" s="3">
        <x:v>0</x:v>
      </x:c>
      <x:c r="L83" s="2" t="s">
        <x:v>365</x:v>
      </x:c>
      <x:c r="M83" s="3">
        <x:v>1198</x:v>
      </x:c>
      <x:c r="N83" s="3">
        <x:v>80</x:v>
      </x:c>
      <x:c r="O83" s="5">
        <x:v>105.8379810440631</x:v>
      </x:c>
      <x:c r="P83" s="5">
        <x:v>20.466597111044511</x:v>
      </x:c>
      <x:c r="Q83" s="5"/>
      <x:c r="R83" s="5">
        <x:v>95.055857851694142</x:v>
      </x:c>
      <x:c r="S83" s="5">
        <x:f t="shared" si="5"/>
        <x:v>78.94376764359555</x:v>
      </x:c>
      <x:c r="T83" s="5">
        <x:f t="shared" si="6"/>
        <x:v>78.94376764359555</x:v>
      </x:c>
      <x:c r="U83" s="5" t="e">
        <x:f>T83/[1]Model_Parameters!$B$22</x:f>
        <x:v>#NAME?</x:v>
      </x:c>
      <x:c r="V83" s="5">
        <x:v>248.45819905730289</x:v>
      </x:c>
      <x:c r="W83" s="5">
        <x:v>248.45819905730289</x:v>
      </x:c>
      <x:c r="X83" s="5">
        <x:v>90.15126454941722</x:v>
      </x:c>
      <x:c r="Y83" s="3">
        <x:v>10</x:v>
      </x:c>
      <x:c r="Z83" s="3">
        <x:v>2</x:v>
      </x:c>
      <x:c r="AA83" s="3">
        <x:v>3</x:v>
      </x:c>
      <x:c r="AB83" s="2"/>
      <x:c r="AC83" s="3"/>
      <x:c r="AD83" s="3"/>
      <x:c r="AE83" s="2" t="s">
        <x:v>136</x:v>
      </x:c>
      <x:c r="AF83" s="3">
        <x:v>1</x:v>
      </x:c>
      <x:c r="AG83" s="3">
        <x:v>0</x:v>
      </x:c>
      <x:c r="AH83" s="2" t="s">
        <x:v>372</x:v>
      </x:c>
      <x:c r="AI83" s="3">
        <x:v>81</x:v>
      </x:c>
      <x:c r="AJ83" s="3">
        <x:v>8</x:v>
      </x:c>
      <x:c r="AK83" s="2" t="s">
        <x:v>66</x:v>
      </x:c>
      <x:c r="AL83" s="3">
        <x:v>0</x:v>
      </x:c>
      <x:c r="AM83" s="2" t="s">
        <x:v>385</x:v>
      </x:c>
      <x:c r="AN83" s="3">
        <x:v>83</x:v>
      </x:c>
      <x:c r="AO83" s="3">
        <x:v>33</x:v>
      </x:c>
      <x:c r="AP83" s="3">
        <x:v>41</x:v>
      </x:c>
      <x:c r="AQ83" s="5">
        <x:v>87.56812013471189</x:v>
      </x:c>
      <x:c r="AR83" s="5">
        <x:v>78.943767643595521</x:v>
      </x:c>
      <x:c r="AS83" s="5">
        <x:f t="shared" si="7"/>
        <x:v>99.999999999999972</x:v>
      </x:c>
      <x:c r="AT83" s="5">
        <x:v>159.21476388129429</x:v>
      </x:c>
      <x:c r="AU83" s="5">
        <x:v>248.45819905730289</x:v>
      </x:c>
      <x:c r="AV83" s="5">
        <x:v>95.055857851694142</x:v>
      </x:c>
      <x:c r="AW83" s="2" t="b">
        <x:v>0</x:v>
      </x:c>
      <x:c r="AX83" s="2"/>
      <x:c r="AY83" s="2" t="s">
        <x:v>68</x:v>
      </x:c>
      <x:c r="AZ83" s="6">
        <x:v>80</x:v>
      </x:c>
      <x:c r="BA83" s="6"/>
      <x:c r="BB83" s="7"/>
      <x:c r="BC83" s="7"/>
      <x:c r="BD83" s="8"/>
      <x:c r="BE83" s="2" t="e">
        <x:f>IF(AE83="Blocked","No",IF(AJ83&lt;=[1]Model_Parameters!$B$20,"Yes","No"))</x:f>
        <x:v>#NAME?</x:v>
      </x:c>
      <x:c r="BF83" s="2" t="str">
        <x:f t="shared" si="8"/>
        <x:v>Yes</x:v>
      </x:c>
      <x:c r="BG83" s="2" t="str">
        <x:f t="shared" si="9"/>
        <x:v>Yes</x:v>
      </x:c>
      <x:c r="BH83" s="24"/>
      <x:c r="BI83" s="24"/>
    </x:row>
    <x:row r="84">
      <x:c r="A84" s="2" t="s">
        <x:v>59</x:v>
      </x:c>
      <x:c r="B84" s="3">
        <x:v>184</x:v>
      </x:c>
      <x:c r="C84" s="2" t="s">
        <x:v>386</x:v>
      </x:c>
      <x:c r="D84" s="2" t="s">
        <x:v>387</x:v>
      </x:c>
      <x:c r="E84" s="2" t="s">
        <x:v>71</x:v>
      </x:c>
      <x:c r="F84" s="2" t="s">
        <x:v>72</x:v>
      </x:c>
      <x:c r="G84" s="3">
        <x:v>74</x:v>
      </x:c>
      <x:c r="H84" s="3">
        <x:v>1</x:v>
      </x:c>
      <x:c r="I84" s="3">
        <x:v>130</x:v>
      </x:c>
      <x:c r="J84" s="4">
        <x:v>0.10875475802066339</x:v>
      </x:c>
      <x:c r="K84" s="3">
        <x:v>0</x:v>
      </x:c>
      <x:c r="L84" s="2" t="s">
        <x:v>388</x:v>
      </x:c>
      <x:c r="M84" s="3">
        <x:v>1202</x:v>
      </x:c>
      <x:c r="N84" s="3">
        <x:v>81</x:v>
      </x:c>
      <x:c r="O84" s="5">
        <x:v>113.8661421323793</x:v>
      </x:c>
      <x:c r="P84" s="5">
        <x:v>50.966938192577629</x:v>
      </x:c>
      <x:c r="Q84" s="5"/>
      <x:c r="R84" s="5">
        <x:v>77.721988959621029</x:v>
      </x:c>
      <x:c r="S84" s="5">
        <x:f t="shared" si="5"/>
        <x:v>30.464944133991875</x:v>
      </x:c>
      <x:c r="T84" s="5">
        <x:f t="shared" si="6"/>
        <x:v>30.464944133991875</x:v>
      </x:c>
      <x:c r="U84" s="5" t="e">
        <x:f>T84/[1]Model_Parameters!$B$22</x:f>
        <x:v>#NAME?</x:v>
      </x:c>
      <x:c r="V84" s="5">
        <x:v>364.2244697772901</x:v>
      </x:c>
      <x:c r="W84" s="5">
        <x:v>364.2244697772901</x:v>
      </x:c>
      <x:c r="X84" s="5">
        <x:v>90.124503243060587</x:v>
      </x:c>
      <x:c r="Y84" s="3">
        <x:v>10</x:v>
      </x:c>
      <x:c r="Z84" s="3">
        <x:v>2</x:v>
      </x:c>
      <x:c r="AA84" s="3">
        <x:v>3</x:v>
      </x:c>
      <x:c r="AB84" s="2"/>
      <x:c r="AC84" s="3"/>
      <x:c r="AD84" s="3"/>
      <x:c r="AE84" s="2" t="s">
        <x:v>136</x:v>
      </x:c>
      <x:c r="AF84" s="3">
        <x:v>10</x:v>
      </x:c>
      <x:c r="AG84" s="3">
        <x:v>0</x:v>
      </x:c>
      <x:c r="AH84" s="2" t="s">
        <x:v>389</x:v>
      </x:c>
      <x:c r="AI84" s="3">
        <x:v>81</x:v>
      </x:c>
      <x:c r="AJ84" s="3">
        <x:v>6</x:v>
      </x:c>
      <x:c r="AK84" s="2" t="s">
        <x:v>66</x:v>
      </x:c>
      <x:c r="AL84" s="3">
        <x:v>0</x:v>
      </x:c>
      <x:c r="AM84" s="2" t="s">
        <x:v>390</x:v>
      </x:c>
      <x:c r="AN84" s="3">
        <x:v>81</x:v>
      </x:c>
      <x:c r="AO84" s="3">
        <x:v>6</x:v>
      </x:c>
      <x:c r="AP84" s="3">
        <x:v>12</x:v>
      </x:c>
      <x:c r="AQ84" s="5">
        <x:v>33.80317564894608</x:v>
      </x:c>
      <x:c r="AR84" s="5">
        <x:v>30.464944133991882</x:v>
      </x:c>
      <x:c r="AS84" s="5">
        <x:f t="shared" si="7"/>
        <x:v>100.00000000000003</x:v>
      </x:c>
      <x:c r="AT84" s="5">
        <x:v>338.0317564894608</x:v>
      </x:c>
      <x:c r="AU84" s="5">
        <x:v>364.22446977728998</x:v>
      </x:c>
      <x:c r="AV84" s="5">
        <x:v>77.721988959621029</x:v>
      </x:c>
      <x:c r="AW84" s="2" t="b">
        <x:v>0</x:v>
      </x:c>
      <x:c r="AX84" s="2"/>
      <x:c r="AY84" s="2" t="s">
        <x:v>75</x:v>
      </x:c>
      <x:c r="AZ84" s="6">
        <x:v>81</x:v>
      </x:c>
      <x:c r="BA84" s="6"/>
      <x:c r="BB84" s="7"/>
      <x:c r="BC84" s="7"/>
      <x:c r="BD84" s="8"/>
      <x:c r="BE84" s="2" t="e">
        <x:f>IF(AE84="Blocked","No",IF(AJ84&lt;=[1]Model_Parameters!$B$20,"Yes","No"))</x:f>
        <x:v>#NAME?</x:v>
      </x:c>
      <x:c r="BF84" s="2" t="str">
        <x:f t="shared" si="8"/>
        <x:v>Yes</x:v>
      </x:c>
      <x:c r="BG84" s="2" t="str">
        <x:f t="shared" si="9"/>
        <x:v>Yes</x:v>
      </x:c>
      <x:c r="BH84" s="24"/>
      <x:c r="BI84" s="24"/>
    </x:row>
    <x:row r="85">
      <x:c r="A85" s="2" t="s">
        <x:v>59</x:v>
      </x:c>
      <x:c r="B85" s="3">
        <x:v>185</x:v>
      </x:c>
      <x:c r="C85" s="2" t="s">
        <x:v>391</x:v>
      </x:c>
      <x:c r="D85" s="2" t="s">
        <x:v>392</x:v>
      </x:c>
      <x:c r="E85" s="2" t="s">
        <x:v>71</x:v>
      </x:c>
      <x:c r="F85" s="2" t="s">
        <x:v>72</x:v>
      </x:c>
      <x:c r="G85" s="3">
        <x:v>75</x:v>
      </x:c>
      <x:c r="H85" s="3">
        <x:v>1</x:v>
      </x:c>
      <x:c r="I85" s="3">
        <x:v>130</x:v>
      </x:c>
      <x:c r="J85" s="4">
        <x:v>0.10875475802066339</x:v>
      </x:c>
      <x:c r="K85" s="3">
        <x:v>0</x:v>
      </x:c>
      <x:c r="L85" s="2" t="s">
        <x:v>369</x:v>
      </x:c>
      <x:c r="M85" s="3">
        <x:v>1203</x:v>
      </x:c>
      <x:c r="N85" s="3">
        <x:v>81</x:v>
      </x:c>
      <x:c r="O85" s="5">
        <x:v>92.081963264512908</x:v>
      </x:c>
      <x:c r="P85" s="5">
        <x:v>42.232629676656899</x:v>
      </x:c>
      <x:c r="Q85" s="5"/>
      <x:c r="R85" s="5">
        <x:v>89.36448179347309</x:v>
      </x:c>
      <x:c r="S85" s="5">
        <x:f t="shared" si="5"/>
        <x:v>43.399934752091234</x:v>
      </x:c>
      <x:c r="T85" s="5">
        <x:f t="shared" si="6"/>
        <x:v>43.399934752091234</x:v>
      </x:c>
      <x:c r="U85" s="5" t="e">
        <x:f>T85/[1]Model_Parameters!$B$22</x:f>
        <x:v>#NAME?</x:v>
      </x:c>
      <x:c r="V85" s="5">
        <x:v>212.26079752488349</x:v>
      </x:c>
      <x:c r="W85" s="5">
        <x:v>212.26079752488349</x:v>
      </x:c>
      <x:c r="X85" s="5">
        <x:v>91.680716589229831</x:v>
      </x:c>
      <x:c r="Y85" s="3">
        <x:v>10</x:v>
      </x:c>
      <x:c r="Z85" s="3">
        <x:v>2</x:v>
      </x:c>
      <x:c r="AA85" s="3">
        <x:v>3</x:v>
      </x:c>
      <x:c r="AB85" s="2"/>
      <x:c r="AC85" s="3"/>
      <x:c r="AD85" s="3"/>
      <x:c r="AE85" s="2" t="s">
        <x:v>136</x:v>
      </x:c>
      <x:c r="AF85" s="3">
        <x:v>3</x:v>
      </x:c>
      <x:c r="AG85" s="3">
        <x:v>0</x:v>
      </x:c>
      <x:c r="AH85" s="2" t="s">
        <x:v>393</x:v>
      </x:c>
      <x:c r="AI85" s="3">
        <x:v>81</x:v>
      </x:c>
      <x:c r="AJ85" s="3">
        <x:v>6</x:v>
      </x:c>
      <x:c r="AK85" s="2" t="s">
        <x:v>66</x:v>
      </x:c>
      <x:c r="AL85" s="3">
        <x:v>0</x:v>
      </x:c>
      <x:c r="AM85" s="2" t="s">
        <x:v>394</x:v>
      </x:c>
      <x:c r="AN85" s="3">
        <x:v>82</x:v>
      </x:c>
      <x:c r="AO85" s="3">
        <x:v>19</x:v>
      </x:c>
      <x:c r="AP85" s="3">
        <x:v>25</x:v>
      </x:c>
      <x:c r="AQ85" s="5">
        <x:v>47.338127761961253</x:v>
      </x:c>
      <x:c r="AR85" s="5">
        <x:v>43.39993475209122</x:v>
      </x:c>
      <x:c r="AS85" s="5">
        <x:f t="shared" si="7"/>
        <x:v>99.999999999999972</x:v>
      </x:c>
      <x:c r="AT85" s="5">
        <x:v>149.48882451145661</x:v>
      </x:c>
      <x:c r="AU85" s="5">
        <x:v>212.26079752488349</x:v>
      </x:c>
      <x:c r="AV85" s="5">
        <x:v>89.36448179347309</x:v>
      </x:c>
      <x:c r="AW85" s="2" t="b">
        <x:v>0</x:v>
      </x:c>
      <x:c r="AX85" s="2"/>
      <x:c r="AY85" s="2" t="s">
        <x:v>75</x:v>
      </x:c>
      <x:c r="AZ85" s="6">
        <x:v>81</x:v>
      </x:c>
      <x:c r="BA85" s="6"/>
      <x:c r="BB85" s="7"/>
      <x:c r="BC85" s="7"/>
      <x:c r="BD85" s="8"/>
      <x:c r="BE85" s="2" t="e">
        <x:f>IF(AE85="Blocked","No",IF(AJ85&lt;=[1]Model_Parameters!$B$20,"Yes","No"))</x:f>
        <x:v>#NAME?</x:v>
      </x:c>
      <x:c r="BF85" s="2" t="str">
        <x:f t="shared" si="8"/>
        <x:v>Yes</x:v>
      </x:c>
      <x:c r="BG85" s="2" t="str">
        <x:f t="shared" si="9"/>
        <x:v>Yes</x:v>
      </x:c>
      <x:c r="BH85" s="24"/>
      <x:c r="BI85" s="24"/>
    </x:row>
    <x:row r="86">
      <x:c r="A86" s="2" t="s">
        <x:v>59</x:v>
      </x:c>
      <x:c r="B86" s="3">
        <x:v>186</x:v>
      </x:c>
      <x:c r="C86" s="2" t="s">
        <x:v>395</x:v>
      </x:c>
      <x:c r="D86" s="2" t="s">
        <x:v>396</x:v>
      </x:c>
      <x:c r="E86" s="2" t="s">
        <x:v>71</x:v>
      </x:c>
      <x:c r="F86" s="2" t="s">
        <x:v>72</x:v>
      </x:c>
      <x:c r="G86" s="3">
        <x:v>76</x:v>
      </x:c>
      <x:c r="H86" s="3">
        <x:v>1</x:v>
      </x:c>
      <x:c r="I86" s="3">
        <x:v>130</x:v>
      </x:c>
      <x:c r="J86" s="4">
        <x:v>0.10875475802066339</x:v>
      </x:c>
      <x:c r="K86" s="3">
        <x:v>0</x:v>
      </x:c>
      <x:c r="L86" s="2" t="s">
        <x:v>397</x:v>
      </x:c>
      <x:c r="M86" s="3">
        <x:v>1205</x:v>
      </x:c>
      <x:c r="N86" s="3">
        <x:v>81</x:v>
      </x:c>
      <x:c r="O86" s="5">
        <x:v>59.432933087584679</x:v>
      </x:c>
      <x:c r="P86" s="5">
        <x:v>27.668591578703509</x:v>
      </x:c>
      <x:c r="Q86" s="5"/>
      <x:c r="R86" s="5">
        <x:v>95.647586855603166</x:v>
      </x:c>
      <x:c r="S86" s="5">
        <x:f t="shared" si="5"/>
        <x:v>40.401910776532119</x:v>
      </x:c>
      <x:c r="T86" s="5">
        <x:f t="shared" si="6"/>
        <x:v>40.401910776532119</x:v>
      </x:c>
      <x:c r="U86" s="5" t="e">
        <x:f>T86/[1]Model_Parameters!$B$22</x:f>
        <x:v>#NAME?</x:v>
      </x:c>
      <x:c r="V86" s="5">
        <x:v>322.76761715923169</x:v>
      </x:c>
      <x:c r="W86" s="5">
        <x:v>322.76761715923169</x:v>
      </x:c>
      <x:c r="X86" s="5">
        <x:v>91.617617155846489</x:v>
      </x:c>
      <x:c r="Y86" s="3">
        <x:v>10</x:v>
      </x:c>
      <x:c r="Z86" s="3">
        <x:v>3</x:v>
      </x:c>
      <x:c r="AA86" s="3">
        <x:v>4</x:v>
      </x:c>
      <x:c r="AB86" s="2"/>
      <x:c r="AC86" s="3"/>
      <x:c r="AD86" s="3"/>
      <x:c r="AE86" s="2" t="s">
        <x:v>136</x:v>
      </x:c>
      <x:c r="AF86" s="3">
        <x:v>6</x:v>
      </x:c>
      <x:c r="AG86" s="3">
        <x:v>0</x:v>
      </x:c>
      <x:c r="AH86" s="2" t="s">
        <x:v>398</x:v>
      </x:c>
      <x:c r="AI86" s="3">
        <x:v>81</x:v>
      </x:c>
      <x:c r="AJ86" s="3">
        <x:v>5</x:v>
      </x:c>
      <x:c r="AK86" s="2" t="s">
        <x:v>66</x:v>
      </x:c>
      <x:c r="AL86" s="3">
        <x:v>0</x:v>
      </x:c>
      <x:c r="AM86" s="2" t="s">
        <x:v>399</x:v>
      </x:c>
      <x:c r="AN86" s="3">
        <x:v>82</x:v>
      </x:c>
      <x:c r="AO86" s="3">
        <x:v>13</x:v>
      </x:c>
      <x:c r="AP86" s="3">
        <x:v>18</x:v>
      </x:c>
      <x:c r="AQ86" s="5">
        <x:v>44.098408178206931</x:v>
      </x:c>
      <x:c r="AR86" s="5">
        <x:v>40.401910776532127</x:v>
      </x:c>
      <x:c r="AS86" s="5">
        <x:f t="shared" si="7"/>
        <x:v>100.00000000000003</x:v>
      </x:c>
      <x:c r="AT86" s="5">
        <x:v>203.5311146686474</x:v>
      </x:c>
      <x:c r="AU86" s="5">
        <x:v>322.76761715923169</x:v>
      </x:c>
      <x:c r="AV86" s="5">
        <x:v>95.647586855603166</x:v>
      </x:c>
      <x:c r="AW86" s="2" t="b">
        <x:v>0</x:v>
      </x:c>
      <x:c r="AX86" s="2"/>
      <x:c r="AY86" s="2" t="s">
        <x:v>75</x:v>
      </x:c>
      <x:c r="AZ86" s="6">
        <x:v>81</x:v>
      </x:c>
      <x:c r="BA86" s="6"/>
      <x:c r="BB86" s="7"/>
      <x:c r="BC86" s="7"/>
      <x:c r="BD86" s="8"/>
      <x:c r="BE86" s="2" t="e">
        <x:f>IF(AE86="Blocked","No",IF(AJ86&lt;=[1]Model_Parameters!$B$20,"Yes","No"))</x:f>
        <x:v>#NAME?</x:v>
      </x:c>
      <x:c r="BF86" s="2" t="str">
        <x:f t="shared" si="8"/>
        <x:v>Yes</x:v>
      </x:c>
      <x:c r="BG86" s="2" t="str">
        <x:f t="shared" si="9"/>
        <x:v>Yes</x:v>
      </x:c>
      <x:c r="BH86" s="24"/>
      <x:c r="BI86" s="24"/>
    </x:row>
    <x:row r="87">
      <x:c r="A87" s="2" t="s">
        <x:v>59</x:v>
      </x:c>
      <x:c r="B87" s="3">
        <x:v>187</x:v>
      </x:c>
      <x:c r="C87" s="2" t="s">
        <x:v>400</x:v>
      </x:c>
      <x:c r="D87" s="2" t="s">
        <x:v>401</x:v>
      </x:c>
      <x:c r="E87" s="2" t="s">
        <x:v>71</x:v>
      </x:c>
      <x:c r="F87" s="2" t="s">
        <x:v>72</x:v>
      </x:c>
      <x:c r="G87" s="3">
        <x:v>77</x:v>
      </x:c>
      <x:c r="H87" s="3">
        <x:v>1</x:v>
      </x:c>
      <x:c r="I87" s="3">
        <x:v>130</x:v>
      </x:c>
      <x:c r="J87" s="4">
        <x:v>0.10875475802066339</x:v>
      </x:c>
      <x:c r="K87" s="3">
        <x:v>0</x:v>
      </x:c>
      <x:c r="L87" s="2" t="s">
        <x:v>397</x:v>
      </x:c>
      <x:c r="M87" s="3">
        <x:v>1205</x:v>
      </x:c>
      <x:c r="N87" s="3">
        <x:v>81</x:v>
      </x:c>
      <x:c r="O87" s="5">
        <x:v>113.60022839027231</x:v>
      </x:c>
      <x:c r="P87" s="5">
        <x:v>59.652947055262771</x:v>
      </x:c>
      <x:c r="Q87" s="5"/>
      <x:c r="R87" s="5">
        <x:v>80.225487423924719</x:v>
      </x:c>
      <x:c r="S87" s="5">
        <x:f t="shared" si="5"/>
        <x:v>23.370452844480941</x:v>
      </x:c>
      <x:c r="T87" s="5">
        <x:f t="shared" si="6"/>
        <x:v>23.370452844480941</x:v>
      </x:c>
      <x:c r="U87" s="5" t="e">
        <x:f>T87/[1]Model_Parameters!$B$22</x:f>
        <x:v>#NAME?</x:v>
      </x:c>
      <x:c r="V87" s="5">
        <x:v>362.36438510096059</x:v>
      </x:c>
      <x:c r="W87" s="5">
        <x:v>362.36438510096059</x:v>
      </x:c>
      <x:c r="X87" s="5">
        <x:v>93.30349905018079</x:v>
      </x:c>
      <x:c r="Y87" s="3">
        <x:v>10</x:v>
      </x:c>
      <x:c r="Z87" s="3">
        <x:v>4</x:v>
      </x:c>
      <x:c r="AA87" s="3">
        <x:v>5</x:v>
      </x:c>
      <x:c r="AB87" s="2"/>
      <x:c r="AC87" s="3"/>
      <x:c r="AD87" s="3"/>
      <x:c r="AE87" s="2" t="s">
        <x:v>136</x:v>
      </x:c>
      <x:c r="AF87" s="3">
        <x:v>8</x:v>
      </x:c>
      <x:c r="AG87" s="3">
        <x:v>0</x:v>
      </x:c>
      <x:c r="AH87" s="2" t="s">
        <x:v>402</x:v>
      </x:c>
      <x:c r="AI87" s="3">
        <x:v>81</x:v>
      </x:c>
      <x:c r="AJ87" s="3">
        <x:v>7</x:v>
      </x:c>
      <x:c r="AK87" s="2" t="s">
        <x:v>66</x:v>
      </x:c>
      <x:c r="AL87" s="3">
        <x:v>0</x:v>
      </x:c>
      <x:c r="AM87" s="2" t="s">
        <x:v>382</x:v>
      </x:c>
      <x:c r="AN87" s="3">
        <x:v>82</x:v>
      </x:c>
      <x:c r="AO87" s="3">
        <x:v>5</x:v>
      </x:c>
      <x:c r="AP87" s="3">
        <x:v>12</x:v>
      </x:c>
      <x:c r="AQ87" s="5">
        <x:v>25.047777502869181</x:v>
      </x:c>
      <x:c r="AR87" s="5">
        <x:v>23.370452844480941</x:v>
      </x:c>
      <x:c r="AS87" s="5">
        <x:f t="shared" si="7"/>
        <x:v>100</x:v>
      </x:c>
      <x:c r="AT87" s="5">
        <x:v>300.57333003443023</x:v>
      </x:c>
      <x:c r="AU87" s="5">
        <x:v>362.36438510096059</x:v>
      </x:c>
      <x:c r="AV87" s="5">
        <x:v>80.225487423924719</x:v>
      </x:c>
      <x:c r="AW87" s="2" t="b">
        <x:v>0</x:v>
      </x:c>
      <x:c r="AX87" s="2"/>
      <x:c r="AY87" s="2" t="s">
        <x:v>75</x:v>
      </x:c>
      <x:c r="AZ87" s="6">
        <x:v>81</x:v>
      </x:c>
      <x:c r="BA87" s="6"/>
      <x:c r="BB87" s="7"/>
      <x:c r="BC87" s="7"/>
      <x:c r="BD87" s="8"/>
      <x:c r="BE87" s="2" t="e">
        <x:f>IF(AE87="Blocked","No",IF(AJ87&lt;=[1]Model_Parameters!$B$20,"Yes","No"))</x:f>
        <x:v>#NAME?</x:v>
      </x:c>
      <x:c r="BF87" s="2" t="str">
        <x:f t="shared" si="8"/>
        <x:v>Yes</x:v>
      </x:c>
      <x:c r="BG87" s="2" t="str">
        <x:f t="shared" si="9"/>
        <x:v>Yes</x:v>
      </x:c>
      <x:c r="BH87" s="24"/>
      <x:c r="BI87" s="24"/>
    </x:row>
    <x:row r="88">
      <x:c r="A88" s="2" t="s">
        <x:v>59</x:v>
      </x:c>
      <x:c r="B88" s="3">
        <x:v>189</x:v>
      </x:c>
      <x:c r="C88" s="2" t="s">
        <x:v>403</x:v>
      </x:c>
      <x:c r="D88" s="2" t="s">
        <x:v>404</x:v>
      </x:c>
      <x:c r="E88" s="2" t="s">
        <x:v>71</x:v>
      </x:c>
      <x:c r="F88" s="2" t="s">
        <x:v>72</x:v>
      </x:c>
      <x:c r="G88" s="3">
        <x:v>78</x:v>
      </x:c>
      <x:c r="H88" s="3">
        <x:v>1</x:v>
      </x:c>
      <x:c r="I88" s="3">
        <x:v>130</x:v>
      </x:c>
      <x:c r="J88" s="4">
        <x:v>0.10875475802066339</x:v>
      </x:c>
      <x:c r="K88" s="3">
        <x:v>0</x:v>
      </x:c>
      <x:c r="L88" s="2" t="s">
        <x:v>389</x:v>
      </x:c>
      <x:c r="M88" s="3">
        <x:v>1208</x:v>
      </x:c>
      <x:c r="N88" s="3">
        <x:v>81</x:v>
      </x:c>
      <x:c r="O88" s="5">
        <x:v>78.702420070301955</x:v>
      </x:c>
      <x:c r="P88" s="5">
        <x:v>59.583706368182632</x:v>
      </x:c>
      <x:c r="Q88" s="5"/>
      <x:c r="R88" s="5">
        <x:v>84.184874570739041</x:v>
      </x:c>
      <x:c r="S88" s="5">
        <x:f t="shared" si="5"/>
        <x:v>19.361714740977497</x:v>
      </x:c>
      <x:c r="T88" s="5">
        <x:f t="shared" si="6"/>
        <x:v>19.361714740977497</x:v>
      </x:c>
      <x:c r="U88" s="5" t="e">
        <x:f>T88/[1]Model_Parameters!$B$22</x:f>
        <x:v>#NAME?</x:v>
      </x:c>
      <x:c r="V88" s="5">
        <x:v>417.11955563768947</x:v>
      </x:c>
      <x:c r="W88" s="5">
        <x:v>417.11955563768947</x:v>
      </x:c>
      <x:c r="X88" s="5">
        <x:v>93.091127777784479</x:v>
      </x:c>
      <x:c r="Y88" s="3">
        <x:v>10</x:v>
      </x:c>
      <x:c r="Z88" s="3">
        <x:v>3</x:v>
      </x:c>
      <x:c r="AA88" s="3">
        <x:v>4</x:v>
      </x:c>
      <x:c r="AB88" s="2"/>
      <x:c r="AC88" s="3"/>
      <x:c r="AD88" s="3"/>
      <x:c r="AE88" s="2" t="s">
        <x:v>136</x:v>
      </x:c>
      <x:c r="AF88" s="3">
        <x:v>5</x:v>
      </x:c>
      <x:c r="AG88" s="3">
        <x:v>0</x:v>
      </x:c>
      <x:c r="AH88" s="2" t="s">
        <x:v>405</x:v>
      </x:c>
      <x:c r="AI88" s="3">
        <x:v>81</x:v>
      </x:c>
      <x:c r="AJ88" s="3">
        <x:v>5</x:v>
      </x:c>
      <x:c r="AK88" s="2" t="s">
        <x:v>66</x:v>
      </x:c>
      <x:c r="AL88" s="3">
        <x:v>0</x:v>
      </x:c>
      <x:c r="AM88" s="2" t="s">
        <x:v>382</x:v>
      </x:c>
      <x:c r="AN88" s="3">
        <x:v>82</x:v>
      </x:c>
      <x:c r="AO88" s="3">
        <x:v>4</x:v>
      </x:c>
      <x:c r="AP88" s="3">
        <x:v>9</x:v>
      </x:c>
      <x:c r="AQ88" s="5">
        <x:v>20.798668147189471</x:v>
      </x:c>
      <x:c r="AR88" s="5">
        <x:v>19.361714740977501</x:v>
      </x:c>
      <x:c r="AS88" s="5">
        <x:f t="shared" si="7"/>
        <x:v>100.00000000000003</x:v>
      </x:c>
      <x:c r="AT88" s="5">
        <x:v>311.98002220784201</x:v>
      </x:c>
      <x:c r="AU88" s="5">
        <x:v>417.11955563768947</x:v>
      </x:c>
      <x:c r="AV88" s="5">
        <x:v>84.184874570739041</x:v>
      </x:c>
      <x:c r="AW88" s="2" t="b">
        <x:v>0</x:v>
      </x:c>
      <x:c r="AX88" s="2"/>
      <x:c r="AY88" s="2" t="s">
        <x:v>75</x:v>
      </x:c>
      <x:c r="AZ88" s="6">
        <x:v>81</x:v>
      </x:c>
      <x:c r="BA88" s="6"/>
      <x:c r="BB88" s="7"/>
      <x:c r="BC88" s="7"/>
      <x:c r="BD88" s="8"/>
      <x:c r="BE88" s="2" t="e">
        <x:f>IF(AE88="Blocked","No",IF(AJ88&lt;=[1]Model_Parameters!$B$20,"Yes","No"))</x:f>
        <x:v>#NAME?</x:v>
      </x:c>
      <x:c r="BF88" s="2" t="str">
        <x:f t="shared" si="8"/>
        <x:v>Yes</x:v>
      </x:c>
      <x:c r="BG88" s="2" t="str">
        <x:f t="shared" si="9"/>
        <x:v>Yes</x:v>
      </x:c>
      <x:c r="BH88" s="24"/>
      <x:c r="BI88" s="24"/>
    </x:row>
    <x:row r="89">
      <x:c r="A89" s="2" t="s">
        <x:v>59</x:v>
      </x:c>
      <x:c r="B89" s="3">
        <x:v>190</x:v>
      </x:c>
      <x:c r="C89" s="2" t="s">
        <x:v>406</x:v>
      </x:c>
      <x:c r="D89" s="2" t="s">
        <x:v>407</x:v>
      </x:c>
      <x:c r="E89" s="2" t="s">
        <x:v>62</x:v>
      </x:c>
      <x:c r="F89" s="2" t="s">
        <x:v>63</x:v>
      </x:c>
      <x:c r="G89" s="3">
        <x:v>10</x:v>
      </x:c>
      <x:c r="H89" s="3">
        <x:v>1</x:v>
      </x:c>
      <x:c r="I89" s="3">
        <x:v>20</x:v>
      </x:c>
      <x:c r="J89" s="4">
        <x:v>4.6296296296296301E-2</x:v>
      </x:c>
      <x:c r="K89" s="3">
        <x:v>0</x:v>
      </x:c>
      <x:c r="L89" s="2" t="s">
        <x:v>390</x:v>
      </x:c>
      <x:c r="M89" s="3">
        <x:v>1214</x:v>
      </x:c>
      <x:c r="N89" s="3">
        <x:v>81</x:v>
      </x:c>
      <x:c r="O89" s="5">
        <x:v>188.28550765549721</x:v>
      </x:c>
      <x:c r="P89" s="5">
        <x:v>11.432888199315981</x:v>
      </x:c>
      <x:c r="Q89" s="5"/>
      <x:c r="R89" s="5">
        <x:v>82.079789093479008</x:v>
      </x:c>
      <x:c r="S89" s="5">
        <x:f t="shared" si="5"/>
        <x:v>133.01787599145086</x:v>
      </x:c>
      <x:c r="T89" s="5">
        <x:f t="shared" si="6"/>
        <x:v>133.01787599145086</x:v>
      </x:c>
      <x:c r="U89" s="5" t="e">
        <x:f>T89/[1]Model_Parameters!$B$22</x:f>
        <x:v>#NAME?</x:v>
      </x:c>
      <x:c r="V89" s="5">
        <x:v>146.98195645478461</x:v>
      </x:c>
      <x:c r="W89" s="5">
        <x:v>146.98195645478461</x:v>
      </x:c>
      <x:c r="X89" s="5">
        <x:v>91.62277813239676</x:v>
      </x:c>
      <x:c r="Y89" s="3">
        <x:v>9</x:v>
      </x:c>
      <x:c r="Z89" s="3">
        <x:v>0</x:v>
      </x:c>
      <x:c r="AA89" s="3"/>
      <x:c r="AB89" s="2"/>
      <x:c r="AC89" s="3"/>
      <x:c r="AD89" s="3"/>
      <x:c r="AE89" s="2" t="s">
        <x:v>65</x:v>
      </x:c>
      <x:c r="AF89" s="3">
        <x:v>10</x:v>
      </x:c>
      <x:c r="AG89" s="3">
        <x:v>0</x:v>
      </x:c>
      <x:c r="AH89" s="2" t="s">
        <x:v>390</x:v>
      </x:c>
      <x:c r="AI89" s="3">
        <x:v>81</x:v>
      </x:c>
      <x:c r="AJ89" s="3">
        <x:v>0</x:v>
      </x:c>
      <x:c r="AK89" s="2" t="s">
        <x:v>66</x:v>
      </x:c>
      <x:c r="AL89" s="3">
        <x:v>0</x:v>
      </x:c>
      <x:c r="AM89" s="2" t="s">
        <x:v>408</x:v>
      </x:c>
      <x:c r="AN89" s="3">
        <x:v>86</x:v>
      </x:c>
      <x:c r="AO89" s="3">
        <x:v>65</x:v>
      </x:c>
      <x:c r="AP89" s="3">
        <x:v>65</x:v>
      </x:c>
      <x:c r="AQ89" s="5">
        <x:v>145.17991999679111</x:v>
      </x:c>
      <x:c r="AR89" s="5">
        <x:v>133.01787599145081</x:v>
      </x:c>
      <x:c r="AS89" s="5">
        <x:f t="shared" si="7"/>
        <x:v>99.999999999999957</x:v>
      </x:c>
      <x:c r="AT89" s="5">
        <x:v>134.01223384319181</x:v>
      </x:c>
      <x:c r="AU89" s="5">
        <x:v>146.98195645478461</x:v>
      </x:c>
      <x:c r="AV89" s="5">
        <x:v>82.079789093479008</x:v>
      </x:c>
      <x:c r="AW89" s="2" t="b">
        <x:v>0</x:v>
      </x:c>
      <x:c r="AX89" s="2"/>
      <x:c r="AY89" s="2" t="s">
        <x:v>68</x:v>
      </x:c>
      <x:c r="AZ89" s="6">
        <x:v>81</x:v>
      </x:c>
      <x:c r="BA89" s="6"/>
      <x:c r="BB89" s="7"/>
      <x:c r="BC89" s="7"/>
      <x:c r="BD89" s="8"/>
      <x:c r="BE89" s="2" t="e">
        <x:f>IF(AE89="Blocked","No",IF(AJ89&lt;=[1]Model_Parameters!$B$20,"Yes","No"))</x:f>
        <x:v>#NAME?</x:v>
      </x:c>
      <x:c r="BF89" s="2" t="str">
        <x:f t="shared" si="8"/>
        <x:v>Yes</x:v>
      </x:c>
      <x:c r="BG89" s="2" t="str">
        <x:f t="shared" si="9"/>
        <x:v>Yes</x:v>
      </x:c>
      <x:c r="BH89" s="24"/>
      <x:c r="BI89" s="24"/>
    </x:row>
    <x:row r="90">
      <x:c r="A90" s="2" t="s">
        <x:v>59</x:v>
      </x:c>
      <x:c r="B90" s="3">
        <x:v>192</x:v>
      </x:c>
      <x:c r="C90" s="2" t="s">
        <x:v>409</x:v>
      </x:c>
      <x:c r="D90" s="2" t="s">
        <x:v>410</x:v>
      </x:c>
      <x:c r="E90" s="2" t="s">
        <x:v>71</x:v>
      </x:c>
      <x:c r="F90" s="2" t="s">
        <x:v>72</x:v>
      </x:c>
      <x:c r="G90" s="3">
        <x:v>79</x:v>
      </x:c>
      <x:c r="H90" s="3">
        <x:v>1</x:v>
      </x:c>
      <x:c r="I90" s="3">
        <x:v>130</x:v>
      </x:c>
      <x:c r="J90" s="4">
        <x:v>0.10875475802066339</x:v>
      </x:c>
      <x:c r="K90" s="3">
        <x:v>0</x:v>
      </x:c>
      <x:c r="L90" s="2" t="s">
        <x:v>411</x:v>
      </x:c>
      <x:c r="M90" s="3">
        <x:v>1222</x:v>
      </x:c>
      <x:c r="N90" s="3">
        <x:v>82</x:v>
      </x:c>
      <x:c r="O90" s="5">
        <x:v>88.870646160771443</x:v>
      </x:c>
      <x:c r="P90" s="5">
        <x:v>4.7427188001173848</x:v>
      </x:c>
      <x:c r="Q90" s="5"/>
      <x:c r="R90" s="5">
        <x:v>85.405101674839059</x:v>
      </x:c>
      <x:c r="S90" s="5">
        <x:f t="shared" si="5"/>
        <x:v>71.6851808694406</x:v>
      </x:c>
      <x:c r="T90" s="5">
        <x:f t="shared" si="6"/>
        <x:v>71.6851808694406</x:v>
      </x:c>
      <x:c r="U90" s="5" t="e">
        <x:f>T90/[1]Model_Parameters!$B$22</x:f>
        <x:v>#NAME?</x:v>
      </x:c>
      <x:c r="V90" s="5">
        <x:v>338.07808229830721</x:v>
      </x:c>
      <x:c r="W90" s="5">
        <x:v>338.07808229830721</x:v>
      </x:c>
      <x:c r="X90" s="5">
        <x:v>91.17232688144523</x:v>
      </x:c>
      <x:c r="Y90" s="3">
        <x:v>6</x:v>
      </x:c>
      <x:c r="Z90" s="3">
        <x:v>0</x:v>
      </x:c>
      <x:c r="AA90" s="3"/>
      <x:c r="AB90" s="2"/>
      <x:c r="AC90" s="3"/>
      <x:c r="AD90" s="3"/>
      <x:c r="AE90" s="2" t="s">
        <x:v>65</x:v>
      </x:c>
      <x:c r="AF90" s="3">
        <x:v>4</x:v>
      </x:c>
      <x:c r="AG90" s="3">
        <x:v>0</x:v>
      </x:c>
      <x:c r="AH90" s="2" t="s">
        <x:v>411</x:v>
      </x:c>
      <x:c r="AI90" s="3">
        <x:v>82</x:v>
      </x:c>
      <x:c r="AJ90" s="3">
        <x:v>0</x:v>
      </x:c>
      <x:c r="AK90" s="2" t="s">
        <x:v>66</x:v>
      </x:c>
      <x:c r="AL90" s="3">
        <x:v>0</x:v>
      </x:c>
      <x:c r="AM90" s="2" t="s">
        <x:v>412</x:v>
      </x:c>
      <x:c r="AN90" s="3">
        <x:v>83</x:v>
      </x:c>
      <x:c r="AO90" s="3">
        <x:v>16</x:v>
      </x:c>
      <x:c r="AP90" s="3">
        <x:v>16</x:v>
      </x:c>
      <x:c r="AQ90" s="5">
        <x:v>78.626029763017328</x:v>
      </x:c>
      <x:c r="AR90" s="5">
        <x:v>71.685180869440615</x:v>
      </x:c>
      <x:c r="AS90" s="5">
        <x:f t="shared" si="7"/>
        <x:v>100.00000000000003</x:v>
      </x:c>
      <x:c r="AT90" s="5">
        <x:v>294.84761161131502</x:v>
      </x:c>
      <x:c r="AU90" s="5">
        <x:v>338.07808229830721</x:v>
      </x:c>
      <x:c r="AV90" s="5">
        <x:v>85.405101674839059</x:v>
      </x:c>
      <x:c r="AW90" s="2" t="b">
        <x:v>0</x:v>
      </x:c>
      <x:c r="AX90" s="2"/>
      <x:c r="AY90" s="2" t="s">
        <x:v>75</x:v>
      </x:c>
      <x:c r="AZ90" s="6">
        <x:v>82</x:v>
      </x:c>
      <x:c r="BA90" s="6"/>
      <x:c r="BB90" s="7"/>
      <x:c r="BC90" s="7"/>
      <x:c r="BD90" s="8"/>
      <x:c r="BE90" s="2" t="e">
        <x:f>IF(AE90="Blocked","No",IF(AJ90&lt;=[1]Model_Parameters!$B$20,"Yes","No"))</x:f>
        <x:v>#NAME?</x:v>
      </x:c>
      <x:c r="BF90" s="2" t="str">
        <x:f t="shared" si="8"/>
        <x:v>Yes</x:v>
      </x:c>
      <x:c r="BG90" s="2" t="str">
        <x:f t="shared" si="9"/>
        <x:v>Yes</x:v>
      </x:c>
      <x:c r="BH90" s="24"/>
      <x:c r="BI90" s="24"/>
    </x:row>
    <x:row r="91">
      <x:c r="A91" s="2" t="s">
        <x:v>59</x:v>
      </x:c>
      <x:c r="B91" s="3">
        <x:v>194</x:v>
      </x:c>
      <x:c r="C91" s="2" t="s">
        <x:v>413</x:v>
      </x:c>
      <x:c r="D91" s="2" t="s">
        <x:v>414</x:v>
      </x:c>
      <x:c r="E91" s="2" t="s">
        <x:v>71</x:v>
      </x:c>
      <x:c r="F91" s="2" t="s">
        <x:v>72</x:v>
      </x:c>
      <x:c r="G91" s="3">
        <x:v>80</x:v>
      </x:c>
      <x:c r="H91" s="3">
        <x:v>1</x:v>
      </x:c>
      <x:c r="I91" s="3">
        <x:v>130</x:v>
      </x:c>
      <x:c r="J91" s="4">
        <x:v>0.10875475802066339</x:v>
      </x:c>
      <x:c r="K91" s="3">
        <x:v>0</x:v>
      </x:c>
      <x:c r="L91" s="2" t="s">
        <x:v>415</x:v>
      </x:c>
      <x:c r="M91" s="3">
        <x:v>1226</x:v>
      </x:c>
      <x:c r="N91" s="3">
        <x:v>82</x:v>
      </x:c>
      <x:c r="O91" s="5">
        <x:v>119.8949243779164</x:v>
      </x:c>
      <x:c r="P91" s="5">
        <x:v>38.558057931609149</x:v>
      </x:c>
      <x:c r="Q91" s="5"/>
      <x:c r="R91" s="5">
        <x:v>91.993158467170829</x:v>
      </x:c>
      <x:c r="S91" s="5">
        <x:f t="shared" si="5"/>
        <x:v>64.065973378375276</x:v>
      </x:c>
      <x:c r="T91" s="5">
        <x:f t="shared" si="6"/>
        <x:v>64.065973378375276</x:v>
      </x:c>
      <x:c r="U91" s="5" t="e">
        <x:f>T91/[1]Model_Parameters!$B$22</x:f>
        <x:v>#NAME?</x:v>
      </x:c>
      <x:c r="V91" s="5">
        <x:v>448.48665087837571</x:v>
      </x:c>
      <x:c r="W91" s="5">
        <x:v>448.48665087837571</x:v>
      </x:c>
      <x:c r="X91" s="5">
        <x:v>91.79959638898822</x:v>
      </x:c>
      <x:c r="Y91" s="3">
        <x:v>5</x:v>
      </x:c>
      <x:c r="Z91" s="3">
        <x:v>0</x:v>
      </x:c>
      <x:c r="AA91" s="3"/>
      <x:c r="AB91" s="2"/>
      <x:c r="AC91" s="3"/>
      <x:c r="AD91" s="3"/>
      <x:c r="AE91" s="2" t="s">
        <x:v>65</x:v>
      </x:c>
      <x:c r="AF91" s="3">
        <x:v>6</x:v>
      </x:c>
      <x:c r="AG91" s="3">
        <x:v>0</x:v>
      </x:c>
      <x:c r="AH91" s="2" t="s">
        <x:v>415</x:v>
      </x:c>
      <x:c r="AI91" s="3">
        <x:v>82</x:v>
      </x:c>
      <x:c r="AJ91" s="3">
        <x:v>0</x:v>
      </x:c>
      <x:c r="AK91" s="2" t="s">
        <x:v>66</x:v>
      </x:c>
      <x:c r="AL91" s="3">
        <x:v>0</x:v>
      </x:c>
      <x:c r="AM91" s="2" t="s">
        <x:v>416</x:v>
      </x:c>
      <x:c r="AN91" s="3">
        <x:v>83</x:v>
      </x:c>
      <x:c r="AO91" s="3">
        <x:v>14</x:v>
      </x:c>
      <x:c r="AP91" s="3">
        <x:v>14</x:v>
      </x:c>
      <x:c r="AQ91" s="5">
        <x:v>69.788948860847384</x:v>
      </x:c>
      <x:c r="AR91" s="5">
        <x:v>64.065973378375304</x:v>
      </x:c>
      <x:c r="AS91" s="5">
        <x:f t="shared" si="7"/>
        <x:v>100.00000000000004</x:v>
      </x:c>
      <x:c r="AT91" s="5">
        <x:v>299.09549511791738</x:v>
      </x:c>
      <x:c r="AU91" s="5">
        <x:v>448.48665087837571</x:v>
      </x:c>
      <x:c r="AV91" s="5">
        <x:v>91.993158467170829</x:v>
      </x:c>
      <x:c r="AW91" s="2" t="b">
        <x:v>0</x:v>
      </x:c>
      <x:c r="AX91" s="2"/>
      <x:c r="AY91" s="2" t="s">
        <x:v>75</x:v>
      </x:c>
      <x:c r="AZ91" s="6">
        <x:v>82</x:v>
      </x:c>
      <x:c r="BA91" s="6"/>
      <x:c r="BB91" s="7"/>
      <x:c r="BC91" s="7"/>
      <x:c r="BD91" s="8"/>
      <x:c r="BE91" s="2" t="e">
        <x:f>IF(AE91="Blocked","No",IF(AJ91&lt;=[1]Model_Parameters!$B$20,"Yes","No"))</x:f>
        <x:v>#NAME?</x:v>
      </x:c>
      <x:c r="BF91" s="2" t="str">
        <x:f t="shared" si="8"/>
        <x:v>Yes</x:v>
      </x:c>
      <x:c r="BG91" s="2" t="str">
        <x:f t="shared" si="9"/>
        <x:v>Yes</x:v>
      </x:c>
      <x:c r="BH91" s="24"/>
      <x:c r="BI91" s="24"/>
    </x:row>
    <x:row r="92">
      <x:c r="A92" s="2" t="s">
        <x:v>59</x:v>
      </x:c>
      <x:c r="B92" s="3">
        <x:v>195</x:v>
      </x:c>
      <x:c r="C92" s="2" t="s">
        <x:v>417</x:v>
      </x:c>
      <x:c r="D92" s="2" t="s">
        <x:v>418</x:v>
      </x:c>
      <x:c r="E92" s="2" t="s">
        <x:v>71</x:v>
      </x:c>
      <x:c r="F92" s="2" t="s">
        <x:v>72</x:v>
      </x:c>
      <x:c r="G92" s="3">
        <x:v>81</x:v>
      </x:c>
      <x:c r="H92" s="3">
        <x:v>1</x:v>
      </x:c>
      <x:c r="I92" s="3">
        <x:v>130</x:v>
      </x:c>
      <x:c r="J92" s="4">
        <x:v>0.10875475802066339</x:v>
      </x:c>
      <x:c r="K92" s="3">
        <x:v>0</x:v>
      </x:c>
      <x:c r="L92" s="2" t="s">
        <x:v>394</x:v>
      </x:c>
      <x:c r="M92" s="3">
        <x:v>1228</x:v>
      </x:c>
      <x:c r="N92" s="3">
        <x:v>82</x:v>
      </x:c>
      <x:c r="O92" s="5">
        <x:v>73.844593253804831</x:v>
      </x:c>
      <x:c r="P92" s="5">
        <x:v>43.115117010612778</x:v>
      </x:c>
      <x:c r="Q92" s="5"/>
      <x:c r="R92" s="5">
        <x:v>73.591638469387647</x:v>
      </x:c>
      <x:c r="S92" s="5">
        <x:f t="shared" si="5"/>
        <x:v>22.505263309140851</x:v>
      </x:c>
      <x:c r="T92" s="5">
        <x:f t="shared" si="6"/>
        <x:v>22.505263309140851</x:v>
      </x:c>
      <x:c r="U92" s="5" t="e">
        <x:f>T92/[1]Model_Parameters!$B$22</x:f>
        <x:v>#NAME?</x:v>
      </x:c>
      <x:c r="V92" s="5">
        <x:v>334.63842412500281</x:v>
      </x:c>
      <x:c r="W92" s="5">
        <x:v>334.63842412500281</x:v>
      </x:c>
      <x:c r="X92" s="5">
        <x:v>92.000875380985633</x:v>
      </x:c>
      <x:c r="Y92" s="3">
        <x:v>5</x:v>
      </x:c>
      <x:c r="Z92" s="3">
        <x:v>0</x:v>
      </x:c>
      <x:c r="AA92" s="3"/>
      <x:c r="AB92" s="2"/>
      <x:c r="AC92" s="3"/>
      <x:c r="AD92" s="3"/>
      <x:c r="AE92" s="2" t="s">
        <x:v>65</x:v>
      </x:c>
      <x:c r="AF92" s="3">
        <x:v>7</x:v>
      </x:c>
      <x:c r="AG92" s="3">
        <x:v>0</x:v>
      </x:c>
      <x:c r="AH92" s="2" t="s">
        <x:v>394</x:v>
      </x:c>
      <x:c r="AI92" s="3">
        <x:v>82</x:v>
      </x:c>
      <x:c r="AJ92" s="3">
        <x:v>0</x:v>
      </x:c>
      <x:c r="AK92" s="2" t="s">
        <x:v>66</x:v>
      </x:c>
      <x:c r="AL92" s="3">
        <x:v>0</x:v>
      </x:c>
      <x:c r="AM92" s="2" t="s">
        <x:v>419</x:v>
      </x:c>
      <x:c r="AN92" s="3">
        <x:v>83</x:v>
      </x:c>
      <x:c r="AO92" s="3">
        <x:v>5</x:v>
      </x:c>
      <x:c r="AP92" s="3">
        <x:v>5</x:v>
      </x:c>
      <x:c r="AQ92" s="5">
        <x:v>24.46200997104005</x:v>
      </x:c>
      <x:c r="AR92" s="5">
        <x:v>22.50526330914083</x:v>
      </x:c>
      <x:c r="AS92" s="5">
        <x:f t="shared" si="7"/>
        <x:v>99.999999999999901</x:v>
      </x:c>
      <x:c r="AT92" s="5">
        <x:v>293.54411965248062</x:v>
      </x:c>
      <x:c r="AU92" s="5">
        <x:v>334.63842412500281</x:v>
      </x:c>
      <x:c r="AV92" s="5">
        <x:v>73.591638469387647</x:v>
      </x:c>
      <x:c r="AW92" s="2" t="b">
        <x:v>0</x:v>
      </x:c>
      <x:c r="AX92" s="2"/>
      <x:c r="AY92" s="2" t="s">
        <x:v>75</x:v>
      </x:c>
      <x:c r="AZ92" s="6">
        <x:v>82</x:v>
      </x:c>
      <x:c r="BA92" s="6"/>
      <x:c r="BB92" s="7"/>
      <x:c r="BC92" s="7"/>
      <x:c r="BD92" s="8"/>
      <x:c r="BE92" s="2" t="e">
        <x:f>IF(AE92="Blocked","No",IF(AJ92&lt;=[1]Model_Parameters!$B$20,"Yes","No"))</x:f>
        <x:v>#NAME?</x:v>
      </x:c>
      <x:c r="BF92" s="2" t="str">
        <x:f t="shared" si="8"/>
        <x:v>Yes</x:v>
      </x:c>
      <x:c r="BG92" s="2" t="str">
        <x:f t="shared" si="9"/>
        <x:v>Yes</x:v>
      </x:c>
      <x:c r="BH92" s="24"/>
      <x:c r="BI92" s="24"/>
    </x:row>
    <x:row r="93">
      <x:c r="A93" s="2" t="s">
        <x:v>59</x:v>
      </x:c>
      <x:c r="B93" s="3">
        <x:v>197</x:v>
      </x:c>
      <x:c r="C93" s="2" t="s">
        <x:v>420</x:v>
      </x:c>
      <x:c r="D93" s="2" t="s">
        <x:v>421</x:v>
      </x:c>
      <x:c r="E93" s="2" t="s">
        <x:v>71</x:v>
      </x:c>
      <x:c r="F93" s="2" t="s">
        <x:v>72</x:v>
      </x:c>
      <x:c r="G93" s="3">
        <x:v>82</x:v>
      </x:c>
      <x:c r="H93" s="3">
        <x:v>1</x:v>
      </x:c>
      <x:c r="I93" s="3">
        <x:v>130</x:v>
      </x:c>
      <x:c r="J93" s="4">
        <x:v>0.10875475802066339</x:v>
      </x:c>
      <x:c r="K93" s="3">
        <x:v>0</x:v>
      </x:c>
      <x:c r="L93" s="2" t="s">
        <x:v>419</x:v>
      </x:c>
      <x:c r="M93" s="3">
        <x:v>1233</x:v>
      </x:c>
      <x:c r="N93" s="3">
        <x:v>83</x:v>
      </x:c>
      <x:c r="O93" s="5">
        <x:v>182.8891731579576</x:v>
      </x:c>
      <x:c r="P93" s="5">
        <x:v>48.38885886274619</x:v>
      </x:c>
      <x:c r="Q93" s="5"/>
      <x:c r="R93" s="5">
        <x:v>51.28726801242852</x:v>
      </x:c>
      <x:c r="S93" s="5">
        <x:f t="shared" si="5"/>
        <x:v>5.3008765285886019</x:v>
      </x:c>
      <x:c r="T93" s="5">
        <x:f t="shared" si="6"/>
        <x:v>5.3008765285886019</x:v>
      </x:c>
      <x:c r="U93" s="5" t="e">
        <x:f>T93/[1]Model_Parameters!$B$22</x:f>
        <x:v>#NAME?</x:v>
      </x:c>
      <x:c r="V93" s="5">
        <x:v>437.86643080100117</x:v>
      </x:c>
      <x:c r="W93" s="5">
        <x:v>437.86643080100117</x:v>
      </x:c>
      <x:c r="X93" s="5">
        <x:v>92.948758481621056</x:v>
      </x:c>
      <x:c r="Y93" s="3">
        <x:v>6</x:v>
      </x:c>
      <x:c r="Z93" s="3">
        <x:v>0</x:v>
      </x:c>
      <x:c r="AA93" s="3"/>
      <x:c r="AB93" s="2"/>
      <x:c r="AC93" s="3"/>
      <x:c r="AD93" s="3"/>
      <x:c r="AE93" s="2" t="s">
        <x:v>65</x:v>
      </x:c>
      <x:c r="AF93" s="3">
        <x:v>9</x:v>
      </x:c>
      <x:c r="AG93" s="3">
        <x:v>0</x:v>
      </x:c>
      <x:c r="AH93" s="2" t="s">
        <x:v>419</x:v>
      </x:c>
      <x:c r="AI93" s="3">
        <x:v>83</x:v>
      </x:c>
      <x:c r="AJ93" s="3">
        <x:v>0</x:v>
      </x:c>
      <x:c r="AK93" s="2" t="s">
        <x:v>66</x:v>
      </x:c>
      <x:c r="AL93" s="3">
        <x:v>0</x:v>
      </x:c>
      <x:c r="AM93" s="2" t="s">
        <x:v>422</x:v>
      </x:c>
      <x:c r="AN93" s="3">
        <x:v>83</x:v>
      </x:c>
      <x:c r="AO93" s="3">
        <x:v>1</x:v>
      </x:c>
      <x:c r="AP93" s="3">
        <x:v>1</x:v>
      </x:c>
      <x:c r="AQ93" s="5">
        <x:v>5.703009502420362</x:v>
      </x:c>
      <x:c r="AR93" s="5">
        <x:v>5.300876528588601</x:v>
      </x:c>
      <x:c r="AS93" s="5">
        <x:f t="shared" si="7"/>
        <x:v>99.999999999999972</x:v>
      </x:c>
      <x:c r="AT93" s="5">
        <x:v>342.18057014522168</x:v>
      </x:c>
      <x:c r="AU93" s="5">
        <x:v>342.18057014522168</x:v>
      </x:c>
      <x:c r="AV93" s="5">
        <x:v>51.28726801242852</x:v>
      </x:c>
      <x:c r="AW93" s="2" t="b">
        <x:v>0</x:v>
      </x:c>
      <x:c r="AX93" s="2"/>
      <x:c r="AY93" s="2" t="s">
        <x:v>75</x:v>
      </x:c>
      <x:c r="AZ93" s="6">
        <x:v>83</x:v>
      </x:c>
      <x:c r="BA93" s="6"/>
      <x:c r="BB93" s="7"/>
      <x:c r="BC93" s="7"/>
      <x:c r="BD93" s="8"/>
      <x:c r="BE93" s="2" t="e">
        <x:f>IF(AE93="Blocked","No",IF(AJ93&lt;=[1]Model_Parameters!$B$20,"Yes","No"))</x:f>
        <x:v>#NAME?</x:v>
      </x:c>
      <x:c r="BF93" s="2" t="str">
        <x:f t="shared" si="8"/>
        <x:v>Yes</x:v>
      </x:c>
      <x:c r="BG93" s="2" t="str">
        <x:f t="shared" si="9"/>
        <x:v>Yes</x:v>
      </x:c>
      <x:c r="BH93" s="24"/>
      <x:c r="BI93" s="24"/>
    </x:row>
    <x:row r="94">
      <x:c r="A94" s="2" t="s">
        <x:v>59</x:v>
      </x:c>
      <x:c r="B94" s="3">
        <x:v>198</x:v>
      </x:c>
      <x:c r="C94" s="2" t="s">
        <x:v>423</x:v>
      </x:c>
      <x:c r="D94" s="2" t="s">
        <x:v>424</x:v>
      </x:c>
      <x:c r="E94" s="2" t="s">
        <x:v>71</x:v>
      </x:c>
      <x:c r="F94" s="2" t="s">
        <x:v>72</x:v>
      </x:c>
      <x:c r="G94" s="3">
        <x:v>83</x:v>
      </x:c>
      <x:c r="H94" s="3">
        <x:v>1</x:v>
      </x:c>
      <x:c r="I94" s="3">
        <x:v>130</x:v>
      </x:c>
      <x:c r="J94" s="4">
        <x:v>0.10875475802066339</x:v>
      </x:c>
      <x:c r="K94" s="3">
        <x:v>0</x:v>
      </x:c>
      <x:c r="L94" s="2" t="s">
        <x:v>422</x:v>
      </x:c>
      <x:c r="M94" s="3">
        <x:v>1234</x:v>
      </x:c>
      <x:c r="N94" s="3">
        <x:v>83</x:v>
      </x:c>
      <x:c r="O94" s="5">
        <x:v>89.965244356365019</x:v>
      </x:c>
      <x:c r="P94" s="5">
        <x:v>28.375993101019041</x:v>
      </x:c>
      <x:c r="Q94" s="5"/>
      <x:c r="R94" s="5">
        <x:v>54.289989090889293</x:v>
      </x:c>
      <x:c r="S94" s="5">
        <x:f t="shared" si="5"/>
        <x:v>23.313589814785406</x:v>
      </x:c>
      <x:c r="T94" s="5">
        <x:f t="shared" si="6"/>
        <x:v>23.313589814785406</x:v>
      </x:c>
      <x:c r="U94" s="5" t="e">
        <x:f>T94/[1]Model_Parameters!$B$22</x:f>
        <x:v>#NAME?</x:v>
      </x:c>
      <x:c r="V94" s="5">
        <x:v>328.73916119000501</x:v>
      </x:c>
      <x:c r="W94" s="5">
        <x:v>328.73916119000501</x:v>
      </x:c>
      <x:c r="X94" s="5">
        <x:v>90.000727782987738</x:v>
      </x:c>
      <x:c r="Y94" s="3">
        <x:v>6</x:v>
      </x:c>
      <x:c r="Z94" s="3">
        <x:v>0</x:v>
      </x:c>
      <x:c r="AA94" s="3"/>
      <x:c r="AB94" s="2"/>
      <x:c r="AC94" s="3"/>
      <x:c r="AD94" s="3"/>
      <x:c r="AE94" s="2" t="s">
        <x:v>65</x:v>
      </x:c>
      <x:c r="AF94" s="3">
        <x:v>2</x:v>
      </x:c>
      <x:c r="AG94" s="3">
        <x:v>0</x:v>
      </x:c>
      <x:c r="AH94" s="2" t="s">
        <x:v>422</x:v>
      </x:c>
      <x:c r="AI94" s="3">
        <x:v>83</x:v>
      </x:c>
      <x:c r="AJ94" s="3">
        <x:v>0</x:v>
      </x:c>
      <x:c r="AK94" s="2" t="s">
        <x:v>66</x:v>
      </x:c>
      <x:c r="AL94" s="3">
        <x:v>0</x:v>
      </x:c>
      <x:c r="AM94" s="2" t="s">
        <x:v>385</x:v>
      </x:c>
      <x:c r="AN94" s="3">
        <x:v>83</x:v>
      </x:c>
      <x:c r="AO94" s="3">
        <x:v>5</x:v>
      </x:c>
      <x:c r="AP94" s="3">
        <x:v>5</x:v>
      </x:c>
      <x:c r="AQ94" s="5">
        <x:v>25.90377921276345</x:v>
      </x:c>
      <x:c r="AR94" s="5">
        <x:v>23.313589814785399</x:v>
      </x:c>
      <x:c r="AS94" s="5">
        <x:f t="shared" si="7"/>
        <x:v>99.999999999999972</x:v>
      </x:c>
      <x:c r="AT94" s="5">
        <x:v>310.84535055316138</x:v>
      </x:c>
      <x:c r="AU94" s="5">
        <x:v>328.73916119000501</x:v>
      </x:c>
      <x:c r="AV94" s="5">
        <x:v>54.289989090889293</x:v>
      </x:c>
      <x:c r="AW94" s="2" t="b">
        <x:v>0</x:v>
      </x:c>
      <x:c r="AX94" s="2"/>
      <x:c r="AY94" s="2" t="s">
        <x:v>75</x:v>
      </x:c>
      <x:c r="AZ94" s="6">
        <x:v>83</x:v>
      </x:c>
      <x:c r="BA94" s="6"/>
      <x:c r="BB94" s="7"/>
      <x:c r="BC94" s="7"/>
      <x:c r="BD94" s="8"/>
      <x:c r="BE94" s="2" t="e">
        <x:f>IF(AE94="Blocked","No",IF(AJ94&lt;=[1]Model_Parameters!$B$20,"Yes","No"))</x:f>
        <x:v>#NAME?</x:v>
      </x:c>
      <x:c r="BF94" s="2" t="str">
        <x:f t="shared" si="8"/>
        <x:v>Yes</x:v>
      </x:c>
      <x:c r="BG94" s="2" t="str">
        <x:f t="shared" si="9"/>
        <x:v>Yes</x:v>
      </x:c>
      <x:c r="BH94" s="24"/>
      <x:c r="BI94" s="24"/>
    </x:row>
    <x:row r="95">
      <x:c r="A95" s="2" t="s">
        <x:v>59</x:v>
      </x:c>
      <x:c r="B95" s="3">
        <x:v>200</x:v>
      </x:c>
      <x:c r="C95" s="2" t="s">
        <x:v>425</x:v>
      </x:c>
      <x:c r="D95" s="2" t="s">
        <x:v>426</x:v>
      </x:c>
      <x:c r="E95" s="2" t="s">
        <x:v>71</x:v>
      </x:c>
      <x:c r="F95" s="2" t="s">
        <x:v>72</x:v>
      </x:c>
      <x:c r="G95" s="3">
        <x:v>84</x:v>
      </x:c>
      <x:c r="H95" s="3">
        <x:v>1</x:v>
      </x:c>
      <x:c r="I95" s="3">
        <x:v>130</x:v>
      </x:c>
      <x:c r="J95" s="4">
        <x:v>0.10875475802066339</x:v>
      </x:c>
      <x:c r="K95" s="3">
        <x:v>0</x:v>
      </x:c>
      <x:c r="L95" s="2" t="s">
        <x:v>385</x:v>
      </x:c>
      <x:c r="M95" s="3">
        <x:v>1239</x:v>
      </x:c>
      <x:c r="N95" s="3">
        <x:v>83</x:v>
      </x:c>
      <x:c r="O95" s="5">
        <x:v>111.86767287757721</x:v>
      </x:c>
      <x:c r="P95" s="5">
        <x:v>8.548647067924021</x:v>
      </x:c>
      <x:c r="Q95" s="5"/>
      <x:c r="R95" s="5">
        <x:v>87.011308753279977</x:v>
      </x:c>
      <x:c r="S95" s="5">
        <x:f t="shared" si="5"/>
        <x:v>87.774353705214111</x:v>
      </x:c>
      <x:c r="T95" s="5">
        <x:f t="shared" si="6"/>
        <x:v>87.774353705214111</x:v>
      </x:c>
      <x:c r="U95" s="5" t="e">
        <x:f>T95/[1]Model_Parameters!$B$22</x:f>
        <x:v>#NAME?</x:v>
      </x:c>
      <x:c r="V95" s="5">
        <x:v>212.9147225111486</x:v>
      </x:c>
      <x:c r="W95" s="5">
        <x:v>212.9147225111486</x:v>
      </x:c>
      <x:c r="X95" s="5">
        <x:v>94.915898466178831</x:v>
      </x:c>
      <x:c r="Y95" s="3">
        <x:v>5</x:v>
      </x:c>
      <x:c r="Z95" s="3">
        <x:v>0</x:v>
      </x:c>
      <x:c r="AA95" s="3"/>
      <x:c r="AB95" s="2"/>
      <x:c r="AC95" s="3"/>
      <x:c r="AD95" s="3"/>
      <x:c r="AE95" s="2" t="s">
        <x:v>65</x:v>
      </x:c>
      <x:c r="AF95" s="3">
        <x:v>4</x:v>
      </x:c>
      <x:c r="AG95" s="3">
        <x:v>0</x:v>
      </x:c>
      <x:c r="AH95" s="2" t="s">
        <x:v>385</x:v>
      </x:c>
      <x:c r="AI95" s="3">
        <x:v>83</x:v>
      </x:c>
      <x:c r="AJ95" s="3">
        <x:v>0</x:v>
      </x:c>
      <x:c r="AK95" s="2" t="s">
        <x:v>66</x:v>
      </x:c>
      <x:c r="AL95" s="3">
        <x:v>0</x:v>
      </x:c>
      <x:c r="AM95" s="2" t="s">
        <x:v>427</x:v>
      </x:c>
      <x:c r="AN95" s="3">
        <x:v>85</x:v>
      </x:c>
      <x:c r="AO95" s="3">
        <x:v>30</x:v>
      </x:c>
      <x:c r="AP95" s="3">
        <x:v>30</x:v>
      </x:c>
      <x:c r="AQ95" s="5">
        <x:v>92.475923552986842</x:v>
      </x:c>
      <x:c r="AR95" s="5">
        <x:v>87.774353705214097</x:v>
      </x:c>
      <x:c r="AS95" s="5">
        <x:f t="shared" si="7"/>
        <x:v>99.999999999999986</x:v>
      </x:c>
      <x:c r="AT95" s="5">
        <x:v>184.95184710597371</x:v>
      </x:c>
      <x:c r="AU95" s="5">
        <x:v>212.9147225111486</x:v>
      </x:c>
      <x:c r="AV95" s="5">
        <x:v>87.011308753279977</x:v>
      </x:c>
      <x:c r="AW95" s="2" t="b">
        <x:v>0</x:v>
      </x:c>
      <x:c r="AX95" s="2"/>
      <x:c r="AY95" s="2" t="s">
        <x:v>75</x:v>
      </x:c>
      <x:c r="AZ95" s="6">
        <x:v>83</x:v>
      </x:c>
      <x:c r="BA95" s="6"/>
      <x:c r="BB95" s="7"/>
      <x:c r="BC95" s="7"/>
      <x:c r="BD95" s="8"/>
      <x:c r="BE95" s="2" t="e">
        <x:f>IF(AE95="Blocked","No",IF(AJ95&lt;=[1]Model_Parameters!$B$20,"Yes","No"))</x:f>
        <x:v>#NAME?</x:v>
      </x:c>
      <x:c r="BF95" s="2" t="str">
        <x:f t="shared" si="8"/>
        <x:v>Yes</x:v>
      </x:c>
      <x:c r="BG95" s="2" t="str">
        <x:f t="shared" si="9"/>
        <x:v>Yes</x:v>
      </x:c>
      <x:c r="BH95" s="24"/>
      <x:c r="BI95" s="24"/>
    </x:row>
    <x:row r="96">
      <x:c r="A96" s="2" t="s">
        <x:v>59</x:v>
      </x:c>
      <x:c r="B96" s="3">
        <x:v>202</x:v>
      </x:c>
      <x:c r="C96" s="2" t="s">
        <x:v>428</x:v>
      </x:c>
      <x:c r="D96" s="2" t="s">
        <x:v>429</x:v>
      </x:c>
      <x:c r="E96" s="2" t="s">
        <x:v>71</x:v>
      </x:c>
      <x:c r="F96" s="2" t="s">
        <x:v>72</x:v>
      </x:c>
      <x:c r="G96" s="3">
        <x:v>85</x:v>
      </x:c>
      <x:c r="H96" s="3">
        <x:v>1</x:v>
      </x:c>
      <x:c r="I96" s="3">
        <x:v>130</x:v>
      </x:c>
      <x:c r="J96" s="4">
        <x:v>0.10875475802066339</x:v>
      </x:c>
      <x:c r="K96" s="3">
        <x:v>0</x:v>
      </x:c>
      <x:c r="L96" s="2" t="s">
        <x:v>430</x:v>
      </x:c>
      <x:c r="M96" s="3">
        <x:v>1244</x:v>
      </x:c>
      <x:c r="N96" s="3">
        <x:v>83</x:v>
      </x:c>
      <x:c r="O96" s="5">
        <x:v>119.3661759325538</x:v>
      </x:c>
      <x:c r="P96" s="5">
        <x:v>28.253725976322599</x:v>
      </x:c>
      <x:c r="Q96" s="5"/>
      <x:c r="R96" s="5">
        <x:v>74.661408921317076</x:v>
      </x:c>
      <x:c r="S96" s="5">
        <x:f t="shared" si="5"/>
        <x:v>55.395076470343874</x:v>
      </x:c>
      <x:c r="T96" s="5">
        <x:f t="shared" si="6"/>
        <x:v>55.395076470343874</x:v>
      </x:c>
      <x:c r="U96" s="5" t="e">
        <x:f>T96/[1]Model_Parameters!$B$22</x:f>
        <x:v>#NAME?</x:v>
      </x:c>
      <x:c r="V96" s="5">
        <x:v>193.51978737293231</x:v>
      </x:c>
      <x:c r="W96" s="5">
        <x:v>193.51978737293231</x:v>
      </x:c>
      <x:c r="X96" s="5">
        <x:v>91.650779735115051</x:v>
      </x:c>
      <x:c r="Y96" s="3">
        <x:v>6</x:v>
      </x:c>
      <x:c r="Z96" s="3">
        <x:v>0</x:v>
      </x:c>
      <x:c r="AA96" s="3"/>
      <x:c r="AB96" s="2"/>
      <x:c r="AC96" s="3"/>
      <x:c r="AD96" s="3"/>
      <x:c r="AE96" s="2" t="s">
        <x:v>65</x:v>
      </x:c>
      <x:c r="AF96" s="3">
        <x:v>7</x:v>
      </x:c>
      <x:c r="AG96" s="3">
        <x:v>0</x:v>
      </x:c>
      <x:c r="AH96" s="2" t="s">
        <x:v>430</x:v>
      </x:c>
      <x:c r="AI96" s="3">
        <x:v>83</x:v>
      </x:c>
      <x:c r="AJ96" s="3">
        <x:v>0</x:v>
      </x:c>
      <x:c r="AK96" s="2" t="s">
        <x:v>66</x:v>
      </x:c>
      <x:c r="AL96" s="3">
        <x:v>0</x:v>
      </x:c>
      <x:c r="AM96" s="2" t="s">
        <x:v>431</x:v>
      </x:c>
      <x:c r="AN96" s="3">
        <x:v>85</x:v>
      </x:c>
      <x:c r="AO96" s="3">
        <x:v>20</x:v>
      </x:c>
      <x:c r="AP96" s="3">
        <x:v>20</x:v>
      </x:c>
      <x:c r="AQ96" s="5">
        <x:v>60.441467743585157</x:v>
      </x:c>
      <x:c r="AR96" s="5">
        <x:v>55.395076470343867</x:v>
      </x:c>
      <x:c r="AS96" s="5">
        <x:f t="shared" si="7"/>
        <x:v>99.999999999999986</x:v>
      </x:c>
      <x:c r="AT96" s="5">
        <x:v>181.32440323075551</x:v>
      </x:c>
      <x:c r="AU96" s="5">
        <x:v>193.51978737293231</x:v>
      </x:c>
      <x:c r="AV96" s="5">
        <x:v>74.661408921317076</x:v>
      </x:c>
      <x:c r="AW96" s="2" t="b">
        <x:v>0</x:v>
      </x:c>
      <x:c r="AX96" s="2"/>
      <x:c r="AY96" s="2" t="s">
        <x:v>75</x:v>
      </x:c>
      <x:c r="AZ96" s="6">
        <x:v>83</x:v>
      </x:c>
      <x:c r="BA96" s="6"/>
      <x:c r="BB96" s="7"/>
      <x:c r="BC96" s="7"/>
      <x:c r="BD96" s="8"/>
      <x:c r="BE96" s="2" t="e">
        <x:f>IF(AE96="Blocked","No",IF(AJ96&lt;=[1]Model_Parameters!$B$20,"Yes","No"))</x:f>
        <x:v>#NAME?</x:v>
      </x:c>
      <x:c r="BF96" s="2" t="str">
        <x:f t="shared" si="8"/>
        <x:v>Yes</x:v>
      </x:c>
      <x:c r="BG96" s="2" t="str">
        <x:f t="shared" si="9"/>
        <x:v>Yes</x:v>
      </x:c>
      <x:c r="BH96" s="24"/>
      <x:c r="BI96" s="24"/>
    </x:row>
    <x:row r="97">
      <x:c r="A97" s="2" t="s">
        <x:v>59</x:v>
      </x:c>
      <x:c r="B97" s="3">
        <x:v>203</x:v>
      </x:c>
      <x:c r="C97" s="2" t="s">
        <x:v>432</x:v>
      </x:c>
      <x:c r="D97" s="2" t="s">
        <x:v>433</x:v>
      </x:c>
      <x:c r="E97" s="2" t="s">
        <x:v>71</x:v>
      </x:c>
      <x:c r="F97" s="2" t="s">
        <x:v>72</x:v>
      </x:c>
      <x:c r="G97" s="3">
        <x:v>86</x:v>
      </x:c>
      <x:c r="H97" s="3">
        <x:v>1</x:v>
      </x:c>
      <x:c r="I97" s="3">
        <x:v>130</x:v>
      </x:c>
      <x:c r="J97" s="4">
        <x:v>0.10875475802066339</x:v>
      </x:c>
      <x:c r="K97" s="3">
        <x:v>0</x:v>
      </x:c>
      <x:c r="L97" s="2" t="s">
        <x:v>434</x:v>
      </x:c>
      <x:c r="M97" s="3">
        <x:v>1246</x:v>
      </x:c>
      <x:c r="N97" s="3">
        <x:v>84</x:v>
      </x:c>
      <x:c r="O97" s="5">
        <x:v>77.944170295246806</x:v>
      </x:c>
      <x:c r="P97" s="5">
        <x:v>39.671340874886283</x:v>
      </x:c>
      <x:c r="Q97" s="5"/>
      <x:c r="R97" s="5">
        <x:v>87.251069872608312</x:v>
      </x:c>
      <x:c r="S97" s="5">
        <x:f t="shared" si="5"/>
        <x:v>37.085624996001386</x:v>
      </x:c>
      <x:c r="T97" s="5">
        <x:f t="shared" si="6"/>
        <x:v>37.085624996001386</x:v>
      </x:c>
      <x:c r="U97" s="5" t="e">
        <x:f>T97/[1]Model_Parameters!$B$22</x:f>
        <x:v>#NAME?</x:v>
      </x:c>
      <x:c r="V97" s="5">
        <x:v>431.42821119861878</x:v>
      </x:c>
      <x:c r="W97" s="5">
        <x:v>431.42821119861878</x:v>
      </x:c>
      <x:c r="X97" s="5">
        <x:v>90.32865747966197</x:v>
      </x:c>
      <x:c r="Y97" s="3">
        <x:v>7</x:v>
      </x:c>
      <x:c r="Z97" s="3">
        <x:v>0</x:v>
      </x:c>
      <x:c r="AA97" s="3"/>
      <x:c r="AB97" s="2"/>
      <x:c r="AC97" s="3"/>
      <x:c r="AD97" s="3"/>
      <x:c r="AE97" s="2" t="s">
        <x:v>65</x:v>
      </x:c>
      <x:c r="AF97" s="3">
        <x:v>9</x:v>
      </x:c>
      <x:c r="AG97" s="3">
        <x:v>0</x:v>
      </x:c>
      <x:c r="AH97" s="2" t="s">
        <x:v>434</x:v>
      </x:c>
      <x:c r="AI97" s="3">
        <x:v>84</x:v>
      </x:c>
      <x:c r="AJ97" s="3">
        <x:v>0</x:v>
      </x:c>
      <x:c r="AK97" s="2" t="s">
        <x:v>66</x:v>
      </x:c>
      <x:c r="AL97" s="3">
        <x:v>0</x:v>
      </x:c>
      <x:c r="AM97" s="2" t="s">
        <x:v>435</x:v>
      </x:c>
      <x:c r="AN97" s="3">
        <x:v>84</x:v>
      </x:c>
      <x:c r="AO97" s="3">
        <x:v>7</x:v>
      </x:c>
      <x:c r="AP97" s="3">
        <x:v>7</x:v>
      </x:c>
      <x:c r="AQ97" s="5">
        <x:v>41.056322578857582</x:v>
      </x:c>
      <x:c r="AR97" s="5">
        <x:v>37.085624996001378</x:v>
      </x:c>
      <x:c r="AS97" s="5">
        <x:f t="shared" si="7"/>
        <x:v>99.999999999999972</x:v>
      </x:c>
      <x:c r="AT97" s="5">
        <x:v>351.91133639020791</x:v>
      </x:c>
      <x:c r="AU97" s="5">
        <x:v>431.42821119861878</x:v>
      </x:c>
      <x:c r="AV97" s="5">
        <x:v>87.251069872608312</x:v>
      </x:c>
      <x:c r="AW97" s="2" t="b">
        <x:v>0</x:v>
      </x:c>
      <x:c r="AX97" s="2"/>
      <x:c r="AY97" s="2" t="s">
        <x:v>75</x:v>
      </x:c>
      <x:c r="AZ97" s="6">
        <x:v>84</x:v>
      </x:c>
      <x:c r="BA97" s="6"/>
      <x:c r="BB97" s="7"/>
      <x:c r="BC97" s="7"/>
      <x:c r="BD97" s="8"/>
      <x:c r="BE97" s="2" t="e">
        <x:f>IF(AE97="Blocked","No",IF(AJ97&lt;=[1]Model_Parameters!$B$20,"Yes","No"))</x:f>
        <x:v>#NAME?</x:v>
      </x:c>
      <x:c r="BF97" s="2" t="str">
        <x:f t="shared" si="8"/>
        <x:v>Yes</x:v>
      </x:c>
      <x:c r="BG97" s="2" t="str">
        <x:f t="shared" si="9"/>
        <x:v>Yes</x:v>
      </x:c>
      <x:c r="BH97" s="24"/>
      <x:c r="BI97" s="24"/>
    </x:row>
    <x:row r="98">
      <x:c r="A98" s="2" t="s">
        <x:v>59</x:v>
      </x:c>
      <x:c r="B98" s="3">
        <x:v>204</x:v>
      </x:c>
      <x:c r="C98" s="2" t="s">
        <x:v>436</x:v>
      </x:c>
      <x:c r="D98" s="2" t="s">
        <x:v>437</x:v>
      </x:c>
      <x:c r="E98" s="2" t="s">
        <x:v>71</x:v>
      </x:c>
      <x:c r="F98" s="2" t="s">
        <x:v>72</x:v>
      </x:c>
      <x:c r="G98" s="3">
        <x:v>87</x:v>
      </x:c>
      <x:c r="H98" s="3">
        <x:v>1</x:v>
      </x:c>
      <x:c r="I98" s="3">
        <x:v>130</x:v>
      </x:c>
      <x:c r="J98" s="4">
        <x:v>0.10875475802066339</x:v>
      </x:c>
      <x:c r="K98" s="3">
        <x:v>0</x:v>
      </x:c>
      <x:c r="L98" s="2" t="s">
        <x:v>438</x:v>
      </x:c>
      <x:c r="M98" s="3">
        <x:v>1248</x:v>
      </x:c>
      <x:c r="N98" s="3">
        <x:v>84</x:v>
      </x:c>
      <x:c r="O98" s="5">
        <x:v>126.0293129573744</x:v>
      </x:c>
      <x:c r="P98" s="5">
        <x:v>40.924825184862421</x:v>
      </x:c>
      <x:c r="Q98" s="5"/>
      <x:c r="R98" s="5">
        <x:v>84.31531142700544</x:v>
      </x:c>
      <x:c r="S98" s="5">
        <x:f t="shared" si="5"/>
        <x:v>54.68473169983691</x:v>
      </x:c>
      <x:c r="T98" s="5">
        <x:f t="shared" si="6"/>
        <x:v>54.68473169983691</x:v>
      </x:c>
      <x:c r="U98" s="5" t="e">
        <x:f>T98/[1]Model_Parameters!$B$22</x:f>
        <x:v>#NAME?</x:v>
      </x:c>
      <x:c r="V98" s="5">
        <x:v>269.42284004743721</x:v>
      </x:c>
      <x:c r="W98" s="5">
        <x:v>269.42284004743721</x:v>
      </x:c>
      <x:c r="X98" s="5">
        <x:v>93.83858553631103</x:v>
      </x:c>
      <x:c r="Y98" s="3">
        <x:v>8</x:v>
      </x:c>
      <x:c r="Z98" s="3">
        <x:v>0</x:v>
      </x:c>
      <x:c r="AA98" s="3"/>
      <x:c r="AB98" s="2"/>
      <x:c r="AC98" s="3"/>
      <x:c r="AD98" s="3"/>
      <x:c r="AE98" s="2" t="s">
        <x:v>65</x:v>
      </x:c>
      <x:c r="AF98" s="3">
        <x:v>1</x:v>
      </x:c>
      <x:c r="AG98" s="3">
        <x:v>0</x:v>
      </x:c>
      <x:c r="AH98" s="2" t="s">
        <x:v>438</x:v>
      </x:c>
      <x:c r="AI98" s="3">
        <x:v>84</x:v>
      </x:c>
      <x:c r="AJ98" s="3">
        <x:v>0</x:v>
      </x:c>
      <x:c r="AK98" s="2" t="s">
        <x:v>66</x:v>
      </x:c>
      <x:c r="AL98" s="3">
        <x:v>0</x:v>
      </x:c>
      <x:c r="AM98" s="2" t="s">
        <x:v>431</x:v>
      </x:c>
      <x:c r="AN98" s="3">
        <x:v>85</x:v>
      </x:c>
      <x:c r="AO98" s="3">
        <x:v>16</x:v>
      </x:c>
      <x:c r="AP98" s="3">
        <x:v>16</x:v>
      </x:c>
      <x:c r="AQ98" s="5">
        <x:v>58.275315412418053</x:v>
      </x:c>
      <x:c r="AR98" s="5">
        <x:v>54.684731699836952</x:v>
      </x:c>
      <x:c r="AS98" s="5">
        <x:f t="shared" si="7"/>
        <x:v>100.00000000000009</x:v>
      </x:c>
      <x:c r="AT98" s="5">
        <x:v>218.53243279656769</x:v>
      </x:c>
      <x:c r="AU98" s="5">
        <x:v>269.42284004743709</x:v>
      </x:c>
      <x:c r="AV98" s="5">
        <x:v>84.31531142700544</x:v>
      </x:c>
      <x:c r="AW98" s="2" t="b">
        <x:v>0</x:v>
      </x:c>
      <x:c r="AX98" s="2"/>
      <x:c r="AY98" s="2" t="s">
        <x:v>75</x:v>
      </x:c>
      <x:c r="AZ98" s="6">
        <x:v>84</x:v>
      </x:c>
      <x:c r="BA98" s="6"/>
      <x:c r="BB98" s="7"/>
      <x:c r="BC98" s="7"/>
      <x:c r="BD98" s="8"/>
      <x:c r="BE98" s="2" t="e">
        <x:f>IF(AE98="Blocked","No",IF(AJ98&lt;=[1]Model_Parameters!$B$20,"Yes","No"))</x:f>
        <x:v>#NAME?</x:v>
      </x:c>
      <x:c r="BF98" s="2" t="str">
        <x:f t="shared" si="8"/>
        <x:v>Yes</x:v>
      </x:c>
      <x:c r="BG98" s="2" t="str">
        <x:f t="shared" si="9"/>
        <x:v>Yes</x:v>
      </x:c>
      <x:c r="BH98" s="24"/>
      <x:c r="BI98" s="24"/>
    </x:row>
    <x:row r="99">
      <x:c r="A99" s="2" t="s">
        <x:v>59</x:v>
      </x:c>
      <x:c r="B99" s="3">
        <x:v>206</x:v>
      </x:c>
      <x:c r="C99" s="2" t="s">
        <x:v>439</x:v>
      </x:c>
      <x:c r="D99" s="2" t="s">
        <x:v>440</x:v>
      </x:c>
      <x:c r="E99" s="2" t="s">
        <x:v>71</x:v>
      </x:c>
      <x:c r="F99" s="2" t="s">
        <x:v>72</x:v>
      </x:c>
      <x:c r="G99" s="3">
        <x:v>88</x:v>
      </x:c>
      <x:c r="H99" s="3">
        <x:v>1</x:v>
      </x:c>
      <x:c r="I99" s="3">
        <x:v>130</x:v>
      </x:c>
      <x:c r="J99" s="4">
        <x:v>0.10875475802066339</x:v>
      </x:c>
      <x:c r="K99" s="3">
        <x:v>0</x:v>
      </x:c>
      <x:c r="L99" s="2" t="s">
        <x:v>435</x:v>
      </x:c>
      <x:c r="M99" s="3">
        <x:v>1253</x:v>
      </x:c>
      <x:c r="N99" s="3">
        <x:v>84</x:v>
      </x:c>
      <x:c r="O99" s="5">
        <x:v>85.785301439176365</x:v>
      </x:c>
      <x:c r="P99" s="5">
        <x:v>24.835275264007748</x:v>
      </x:c>
      <x:c r="Q99" s="5"/>
      <x:c r="R99" s="5">
        <x:v>84.051551734734048</x:v>
      </x:c>
      <x:c r="S99" s="5">
        <x:f t="shared" si="5"/>
        <x:v>50.798861271468624</x:v>
      </x:c>
      <x:c r="T99" s="5">
        <x:f t="shared" si="6"/>
        <x:v>50.798861271468624</x:v>
      </x:c>
      <x:c r="U99" s="5" t="e">
        <x:f>T99/[1]Model_Parameters!$B$22</x:f>
        <x:v>#NAME?</x:v>
      </x:c>
      <x:c r="V99" s="5">
        <x:v>412.55054182842451</x:v>
      </x:c>
      <x:c r="W99" s="5">
        <x:v>412.55054182842451</x:v>
      </x:c>
      <x:c r="X99" s="5">
        <x:v>91.617436908207509</x:v>
      </x:c>
      <x:c r="Y99" s="3">
        <x:v>8</x:v>
      </x:c>
      <x:c r="Z99" s="3">
        <x:v>0</x:v>
      </x:c>
      <x:c r="AA99" s="3"/>
      <x:c r="AB99" s="2"/>
      <x:c r="AC99" s="3"/>
      <x:c r="AD99" s="3"/>
      <x:c r="AE99" s="2" t="s">
        <x:v>65</x:v>
      </x:c>
      <x:c r="AF99" s="3">
        <x:v>8</x:v>
      </x:c>
      <x:c r="AG99" s="3">
        <x:v>0</x:v>
      </x:c>
      <x:c r="AH99" s="2" t="s">
        <x:v>435</x:v>
      </x:c>
      <x:c r="AI99" s="3">
        <x:v>84</x:v>
      </x:c>
      <x:c r="AJ99" s="3">
        <x:v>0</x:v>
      </x:c>
      <x:c r="AK99" s="2" t="s">
        <x:v>66</x:v>
      </x:c>
      <x:c r="AL99" s="3">
        <x:v>0</x:v>
      </x:c>
      <x:c r="AM99" s="2" t="s">
        <x:v>441</x:v>
      </x:c>
      <x:c r="AN99" s="3">
        <x:v>85</x:v>
      </x:c>
      <x:c r="AO99" s="3">
        <x:v>9</x:v>
      </x:c>
      <x:c r="AP99" s="3">
        <x:v>9</x:v>
      </x:c>
      <x:c r="AQ99" s="5">
        <x:v>55.446717334348193</x:v>
      </x:c>
      <x:c r="AR99" s="5">
        <x:v>50.798861271468617</x:v>
      </x:c>
      <x:c r="AS99" s="5">
        <x:f t="shared" si="7"/>
        <x:v>99.999999999999986</x:v>
      </x:c>
      <x:c r="AT99" s="5">
        <x:v>369.64478222898799</x:v>
      </x:c>
      <x:c r="AU99" s="5">
        <x:v>412.55054182842451</x:v>
      </x:c>
      <x:c r="AV99" s="5">
        <x:v>84.051551734734048</x:v>
      </x:c>
      <x:c r="AW99" s="2" t="b">
        <x:v>0</x:v>
      </x:c>
      <x:c r="AX99" s="2"/>
      <x:c r="AY99" s="2" t="s">
        <x:v>75</x:v>
      </x:c>
      <x:c r="AZ99" s="6">
        <x:v>84</x:v>
      </x:c>
      <x:c r="BA99" s="6"/>
      <x:c r="BB99" s="7"/>
      <x:c r="BC99" s="7"/>
      <x:c r="BD99" s="8"/>
      <x:c r="BE99" s="2" t="e">
        <x:f>IF(AE99="Blocked","No",IF(AJ99&lt;=[1]Model_Parameters!$B$20,"Yes","No"))</x:f>
        <x:v>#NAME?</x:v>
      </x:c>
      <x:c r="BF99" s="2" t="str">
        <x:f t="shared" si="8"/>
        <x:v>Yes</x:v>
      </x:c>
      <x:c r="BG99" s="2" t="str">
        <x:f t="shared" si="9"/>
        <x:v>Yes</x:v>
      </x:c>
      <x:c r="BH99" s="24"/>
      <x:c r="BI99" s="24"/>
    </x:row>
    <x:row r="100">
      <x:c r="A100" s="2" t="s">
        <x:v>59</x:v>
      </x:c>
      <x:c r="B100" s="3">
        <x:v>207</x:v>
      </x:c>
      <x:c r="C100" s="2" t="s">
        <x:v>442</x:v>
      </x:c>
      <x:c r="D100" s="2" t="s">
        <x:v>443</x:v>
      </x:c>
      <x:c r="E100" s="2" t="s">
        <x:v>71</x:v>
      </x:c>
      <x:c r="F100" s="2" t="s">
        <x:v>72</x:v>
      </x:c>
      <x:c r="G100" s="3">
        <x:v>89</x:v>
      </x:c>
      <x:c r="H100" s="3">
        <x:v>1</x:v>
      </x:c>
      <x:c r="I100" s="3">
        <x:v>130</x:v>
      </x:c>
      <x:c r="J100" s="4">
        <x:v>0.10875475802066339</x:v>
      </x:c>
      <x:c r="K100" s="3">
        <x:v>0</x:v>
      </x:c>
      <x:c r="L100" s="2" t="s">
        <x:v>444</x:v>
      </x:c>
      <x:c r="M100" s="3">
        <x:v>1254</x:v>
      </x:c>
      <x:c r="N100" s="3">
        <x:v>84</x:v>
      </x:c>
      <x:c r="O100" s="5">
        <x:v>70.250688375261177</x:v>
      </x:c>
      <x:c r="P100" s="5">
        <x:v>27.242371966480778</x:v>
      </x:c>
      <x:c r="Q100" s="5"/>
      <x:c r="R100" s="5">
        <x:v>87.995267527997768</x:v>
      </x:c>
      <x:c r="S100" s="5">
        <x:f t="shared" si="5"/>
        <x:v>42.679327339869175</x:v>
      </x:c>
      <x:c r="T100" s="5">
        <x:f t="shared" si="6"/>
        <x:v>42.679327339869175</x:v>
      </x:c>
      <x:c r="U100" s="5" t="e">
        <x:f>T100/[1]Model_Parameters!$B$22</x:f>
        <x:v>#NAME?</x:v>
      </x:c>
      <x:c r="V100" s="5">
        <x:v>108.53607802454761</x:v>
      </x:c>
      <x:c r="W100" s="5">
        <x:v>108.53607802454761</x:v>
      </x:c>
      <x:c r="X100" s="5">
        <x:v>93.566513776567206</x:v>
      </x:c>
      <x:c r="Y100" s="3">
        <x:v>8</x:v>
      </x:c>
      <x:c r="Z100" s="3">
        <x:v>0</x:v>
      </x:c>
      <x:c r="AA100" s="3"/>
      <x:c r="AB100" s="2"/>
      <x:c r="AC100" s="3"/>
      <x:c r="AD100" s="3"/>
      <x:c r="AE100" s="2" t="s">
        <x:v>65</x:v>
      </x:c>
      <x:c r="AF100" s="3">
        <x:v>9</x:v>
      </x:c>
      <x:c r="AG100" s="3">
        <x:v>0</x:v>
      </x:c>
      <x:c r="AH100" s="2" t="s">
        <x:v>444</x:v>
      </x:c>
      <x:c r="AI100" s="3">
        <x:v>84</x:v>
      </x:c>
      <x:c r="AJ100" s="3">
        <x:v>0</x:v>
      </x:c>
      <x:c r="AK100" s="2" t="s">
        <x:v>66</x:v>
      </x:c>
      <x:c r="AL100" s="3">
        <x:v>0</x:v>
      </x:c>
      <x:c r="AM100" s="2" t="s">
        <x:v>445</x:v>
      </x:c>
      <x:c r="AN100" s="3">
        <x:v>86</x:v>
      </x:c>
      <x:c r="AO100" s="3">
        <x:v>31</x:v>
      </x:c>
      <x:c r="AP100" s="3">
        <x:v>31</x:v>
      </x:c>
      <x:c r="AQ100" s="5">
        <x:v>45.613890714989708</x:v>
      </x:c>
      <x:c r="AR100" s="5">
        <x:v>42.679327339869147</x:v>
      </x:c>
      <x:c r="AS100" s="5">
        <x:f t="shared" si="7"/>
        <x:v>99.999999999999929</x:v>
      </x:c>
      <x:c r="AT100" s="5">
        <x:v>88.284949770947819</x:v>
      </x:c>
      <x:c r="AU100" s="5">
        <x:v>108.53607802454761</x:v>
      </x:c>
      <x:c r="AV100" s="5">
        <x:v>87.995267527997768</x:v>
      </x:c>
      <x:c r="AW100" s="2" t="b">
        <x:v>0</x:v>
      </x:c>
      <x:c r="AX100" s="2"/>
      <x:c r="AY100" s="2" t="s">
        <x:v>75</x:v>
      </x:c>
      <x:c r="AZ100" s="6">
        <x:v>84</x:v>
      </x:c>
      <x:c r="BA100" s="6"/>
      <x:c r="BB100" s="7"/>
      <x:c r="BC100" s="7"/>
      <x:c r="BD100" s="8"/>
      <x:c r="BE100" s="2" t="e">
        <x:f>IF(AE100="Blocked","No",IF(AJ100&lt;=[1]Model_Parameters!$B$20,"Yes","No"))</x:f>
        <x:v>#NAME?</x:v>
      </x:c>
      <x:c r="BF100" s="2" t="str">
        <x:f t="shared" si="8"/>
        <x:v>Yes</x:v>
      </x:c>
      <x:c r="BG100" s="2" t="str">
        <x:f t="shared" si="9"/>
        <x:v>Yes</x:v>
      </x:c>
      <x:c r="BH100" s="24"/>
      <x:c r="BI100" s="24"/>
    </x:row>
    <x:row r="101">
      <x:c r="A101" s="2" t="s">
        <x:v>59</x:v>
      </x:c>
      <x:c r="B101" s="3">
        <x:v>208</x:v>
      </x:c>
      <x:c r="C101" s="2" t="s">
        <x:v>446</x:v>
      </x:c>
      <x:c r="D101" s="2" t="s">
        <x:v>447</x:v>
      </x:c>
      <x:c r="E101" s="2" t="s">
        <x:v>71</x:v>
      </x:c>
      <x:c r="F101" s="2" t="s">
        <x:v>72</x:v>
      </x:c>
      <x:c r="G101" s="3">
        <x:v>90</x:v>
      </x:c>
      <x:c r="H101" s="3">
        <x:v>1</x:v>
      </x:c>
      <x:c r="I101" s="3">
        <x:v>130</x:v>
      </x:c>
      <x:c r="J101" s="4">
        <x:v>0.10875475802066339</x:v>
      </x:c>
      <x:c r="K101" s="3">
        <x:v>0</x:v>
      </x:c>
      <x:c r="L101" s="2" t="s">
        <x:v>448</x:v>
      </x:c>
      <x:c r="M101" s="3">
        <x:v>1256</x:v>
      </x:c>
      <x:c r="N101" s="3">
        <x:v>84</x:v>
      </x:c>
      <x:c r="O101" s="5">
        <x:v>116.5867819779681</x:v>
      </x:c>
      <x:c r="P101" s="5">
        <x:v>18.805739212675221</x:v>
      </x:c>
      <x:c r="Q101" s="5"/>
      <x:c r="R101" s="5">
        <x:v>74.309967702057591</x:v>
      </x:c>
      <x:c r="S101" s="5">
        <x:f t="shared" si="5"/>
        <x:v>64.71059385746949</x:v>
      </x:c>
      <x:c r="T101" s="5">
        <x:f t="shared" si="6"/>
        <x:v>64.71059385746949</x:v>
      </x:c>
      <x:c r="U101" s="5" t="e">
        <x:f>T101/[1]Model_Parameters!$B$22</x:f>
        <x:v>#NAME?</x:v>
      </x:c>
      <x:c r="V101" s="5">
        <x:v>419.60253677779627</x:v>
      </x:c>
      <x:c r="W101" s="5">
        <x:v>419.60253677779627</x:v>
      </x:c>
      <x:c r="X101" s="5">
        <x:v>92.859572669207381</x:v>
      </x:c>
      <x:c r="Y101" s="3">
        <x:v>9</x:v>
      </x:c>
      <x:c r="Z101" s="3">
        <x:v>0</x:v>
      </x:c>
      <x:c r="AA101" s="3"/>
      <x:c r="AB101" s="2"/>
      <x:c r="AC101" s="3"/>
      <x:c r="AD101" s="3"/>
      <x:c r="AE101" s="2" t="s">
        <x:v>65</x:v>
      </x:c>
      <x:c r="AF101" s="3">
        <x:v>3</x:v>
      </x:c>
      <x:c r="AG101" s="3">
        <x:v>0</x:v>
      </x:c>
      <x:c r="AH101" s="2" t="s">
        <x:v>448</x:v>
      </x:c>
      <x:c r="AI101" s="3">
        <x:v>84</x:v>
      </x:c>
      <x:c r="AJ101" s="3">
        <x:v>0</x:v>
      </x:c>
      <x:c r="AK101" s="2" t="s">
        <x:v>66</x:v>
      </x:c>
      <x:c r="AL101" s="3">
        <x:v>0</x:v>
      </x:c>
      <x:c r="AM101" s="2" t="s">
        <x:v>449</x:v>
      </x:c>
      <x:c r="AN101" s="3">
        <x:v>85</x:v>
      </x:c>
      <x:c r="AO101" s="3">
        <x:v>10</x:v>
      </x:c>
      <x:c r="AP101" s="3">
        <x:v>10</x:v>
      </x:c>
      <x:c r="AQ101" s="5">
        <x:v>69.686508345227153</x:v>
      </x:c>
      <x:c r="AR101" s="5">
        <x:v>64.710593857469476</x:v>
      </x:c>
      <x:c r="AS101" s="5">
        <x:f t="shared" si="7"/>
        <x:v>99.999999999999972</x:v>
      </x:c>
      <x:c r="AT101" s="5">
        <x:v>418.11905007136289</x:v>
      </x:c>
      <x:c r="AU101" s="5">
        <x:v>419.60253677779627</x:v>
      </x:c>
      <x:c r="AV101" s="5">
        <x:v>74.309967702057591</x:v>
      </x:c>
      <x:c r="AW101" s="2" t="b">
        <x:v>0</x:v>
      </x:c>
      <x:c r="AX101" s="2"/>
      <x:c r="AY101" s="2" t="s">
        <x:v>75</x:v>
      </x:c>
      <x:c r="AZ101" s="6">
        <x:v>84</x:v>
      </x:c>
      <x:c r="BA101" s="6"/>
      <x:c r="BB101" s="7"/>
      <x:c r="BC101" s="7"/>
      <x:c r="BD101" s="8"/>
      <x:c r="BE101" s="2" t="e">
        <x:f>IF(AE101="Blocked","No",IF(AJ101&lt;=[1]Model_Parameters!$B$20,"Yes","No"))</x:f>
        <x:v>#NAME?</x:v>
      </x:c>
      <x:c r="BF101" s="2" t="str">
        <x:f t="shared" si="8"/>
        <x:v>Yes</x:v>
      </x:c>
      <x:c r="BG101" s="2" t="str">
        <x:f t="shared" si="9"/>
        <x:v>Yes</x:v>
      </x:c>
      <x:c r="BH101" s="24"/>
      <x:c r="BI101" s="24"/>
    </x:row>
    <x:row r="102">
      <x:c r="A102" s="2" t="s">
        <x:v>59</x:v>
      </x:c>
      <x:c r="B102" s="3">
        <x:v>211</x:v>
      </x:c>
      <x:c r="C102" s="2" t="s">
        <x:v>450</x:v>
      </x:c>
      <x:c r="D102" s="2" t="s">
        <x:v>451</x:v>
      </x:c>
      <x:c r="E102" s="2" t="s">
        <x:v>71</x:v>
      </x:c>
      <x:c r="F102" s="2" t="s">
        <x:v>72</x:v>
      </x:c>
      <x:c r="G102" s="3">
        <x:v>91</x:v>
      </x:c>
      <x:c r="H102" s="3">
        <x:v>1</x:v>
      </x:c>
      <x:c r="I102" s="3">
        <x:v>130</x:v>
      </x:c>
      <x:c r="J102" s="4">
        <x:v>0.14138118542686251</x:v>
      </x:c>
      <x:c r="K102" s="3">
        <x:v>0</x:v>
      </x:c>
      <x:c r="L102" s="2" t="s">
        <x:v>441</x:v>
      </x:c>
      <x:c r="M102" s="3">
        <x:v>1262</x:v>
      </x:c>
      <x:c r="N102" s="3">
        <x:v>85</x:v>
      </x:c>
      <x:c r="O102" s="5">
        <x:v>76.584950601643854</x:v>
      </x:c>
      <x:c r="P102" s="5">
        <x:v>31.231050857151072</x:v>
      </x:c>
      <x:c r="Q102" s="5"/>
      <x:c r="R102" s="5">
        <x:v>62.497314561183877</x:v>
      </x:c>
      <x:c r="S102" s="5">
        <x:f t="shared" si="5"/>
        <x:v>23.945252612713226</x:v>
      </x:c>
      <x:c r="T102" s="5">
        <x:f t="shared" si="6"/>
        <x:v>23.945252612713226</x:v>
      </x:c>
      <x:c r="U102" s="5" t="e">
        <x:f>T102/[1]Model_Parameters!$B$22</x:f>
        <x:v>#NAME?</x:v>
      </x:c>
      <x:c r="V102" s="5">
        <x:v>170.44972763569299</x:v>
      </x:c>
      <x:c r="W102" s="5">
        <x:v>170.44972763569299</x:v>
      </x:c>
      <x:c r="X102" s="5">
        <x:v>94.891857016397026</x:v>
      </x:c>
      <x:c r="Y102" s="3">
        <x:v>9</x:v>
      </x:c>
      <x:c r="Z102" s="3">
        <x:v>0</x:v>
      </x:c>
      <x:c r="AA102" s="3"/>
      <x:c r="AB102" s="2"/>
      <x:c r="AC102" s="3"/>
      <x:c r="AD102" s="3"/>
      <x:c r="AE102" s="2" t="s">
        <x:v>65</x:v>
      </x:c>
      <x:c r="AF102" s="3">
        <x:v>8</x:v>
      </x:c>
      <x:c r="AG102" s="3">
        <x:v>0</x:v>
      </x:c>
      <x:c r="AH102" s="2" t="s">
        <x:v>441</x:v>
      </x:c>
      <x:c r="AI102" s="3">
        <x:v>85</x:v>
      </x:c>
      <x:c r="AJ102" s="3">
        <x:v>0</x:v>
      </x:c>
      <x:c r="AK102" s="2" t="s">
        <x:v>66</x:v>
      </x:c>
      <x:c r="AL102" s="3">
        <x:v>0</x:v>
      </x:c>
      <x:c r="AM102" s="2" t="s">
        <x:v>452</x:v>
      </x:c>
      <x:c r="AN102" s="3">
        <x:v>85</x:v>
      </x:c>
      <x:c r="AO102" s="3">
        <x:v>9</x:v>
      </x:c>
      <x:c r="AP102" s="3">
        <x:v>9</x:v>
      </x:c>
      <x:c r="AQ102" s="5">
        <x:v>25.23425440875878</x:v>
      </x:c>
      <x:c r="AR102" s="5">
        <x:v>23.94525261271324</x:v>
      </x:c>
      <x:c r="AS102" s="5">
        <x:f t="shared" si="7"/>
        <x:v>100.00000000000007</x:v>
      </x:c>
      <x:c r="AT102" s="5">
        <x:v>168.2283627250585</x:v>
      </x:c>
      <x:c r="AU102" s="5">
        <x:v>170.44972763569299</x:v>
      </x:c>
      <x:c r="AV102" s="5">
        <x:v>62.497314561183877</x:v>
      </x:c>
      <x:c r="AW102" s="2" t="b">
        <x:v>0</x:v>
      </x:c>
      <x:c r="AX102" s="2"/>
      <x:c r="AY102" s="2" t="s">
        <x:v>75</x:v>
      </x:c>
      <x:c r="AZ102" s="6">
        <x:v>85</x:v>
      </x:c>
      <x:c r="BA102" s="6"/>
      <x:c r="BB102" s="7"/>
      <x:c r="BC102" s="7"/>
      <x:c r="BD102" s="8"/>
      <x:c r="BE102" s="2" t="e">
        <x:f>IF(AE102="Blocked","No",IF(AJ102&lt;=[1]Model_Parameters!$B$20,"Yes","No"))</x:f>
        <x:v>#NAME?</x:v>
      </x:c>
      <x:c r="BF102" s="2" t="str">
        <x:f t="shared" si="8"/>
        <x:v>Yes</x:v>
      </x:c>
      <x:c r="BG102" s="2" t="str">
        <x:f t="shared" si="9"/>
        <x:v>Yes</x:v>
      </x:c>
      <x:c r="BH102" s="24"/>
      <x:c r="BI102" s="24"/>
    </x:row>
    <x:row r="103">
      <x:c r="A103" s="2" t="s">
        <x:v>59</x:v>
      </x:c>
      <x:c r="B103" s="3">
        <x:v>212</x:v>
      </x:c>
      <x:c r="C103" s="2" t="s">
        <x:v>453</x:v>
      </x:c>
      <x:c r="D103" s="2" t="s">
        <x:v>454</x:v>
      </x:c>
      <x:c r="E103" s="2" t="s">
        <x:v>62</x:v>
      </x:c>
      <x:c r="F103" s="2" t="s">
        <x:v>63</x:v>
      </x:c>
      <x:c r="G103" s="3">
        <x:v>11</x:v>
      </x:c>
      <x:c r="H103" s="3">
        <x:v>1</x:v>
      </x:c>
      <x:c r="I103" s="3">
        <x:v>20</x:v>
      </x:c>
      <x:c r="J103" s="4">
        <x:v>5.1440329218106998E-2</x:v>
      </x:c>
      <x:c r="K103" s="3">
        <x:v>0</x:v>
      </x:c>
      <x:c r="L103" s="2" t="s">
        <x:v>431</x:v>
      </x:c>
      <x:c r="M103" s="3">
        <x:v>1264</x:v>
      </x:c>
      <x:c r="N103" s="3">
        <x:v>85</x:v>
      </x:c>
      <x:c r="O103" s="5">
        <x:v>179.05077530284339</x:v>
      </x:c>
      <x:c r="P103" s="5">
        <x:v>1.716449585908467</x:v>
      </x:c>
      <x:c r="Q103" s="5"/>
      <x:c r="R103" s="5">
        <x:v>74.263538130031776</x:v>
      </x:c>
      <x:c r="S103" s="5">
        <x:f t="shared" si="5"/>
        <x:v>129.89612449789308</x:v>
      </x:c>
      <x:c r="T103" s="5">
        <x:f t="shared" si="6"/>
        <x:v>129.89612449789308</x:v>
      </x:c>
      <x:c r="U103" s="5" t="e">
        <x:f>T103/[1]Model_Parameters!$B$22</x:f>
        <x:v>#NAME?</x:v>
      </x:c>
      <x:c r="V103" s="5">
        <x:v>175.3268516123216</x:v>
      </x:c>
      <x:c r="W103" s="5">
        <x:v>175.3268516123216</x:v>
      </x:c>
      <x:c r="X103" s="5">
        <x:v>90.430273007558839</x:v>
      </x:c>
      <x:c r="Y103" s="3">
        <x:v>7</x:v>
      </x:c>
      <x:c r="Z103" s="3">
        <x:v>0</x:v>
      </x:c>
      <x:c r="AA103" s="3"/>
      <x:c r="AB103" s="2"/>
      <x:c r="AC103" s="3"/>
      <x:c r="AD103" s="3"/>
      <x:c r="AE103" s="2" t="s">
        <x:v>65</x:v>
      </x:c>
      <x:c r="AF103" s="3">
        <x:v>1</x:v>
      </x:c>
      <x:c r="AG103" s="3">
        <x:v>0</x:v>
      </x:c>
      <x:c r="AH103" s="2" t="s">
        <x:v>431</x:v>
      </x:c>
      <x:c r="AI103" s="3">
        <x:v>85</x:v>
      </x:c>
      <x:c r="AJ103" s="3">
        <x:v>0</x:v>
      </x:c>
      <x:c r="AK103" s="2" t="s">
        <x:v>66</x:v>
      </x:c>
      <x:c r="AL103" s="3">
        <x:v>0</x:v>
      </x:c>
      <x:c r="AM103" s="2" t="s">
        <x:v>455</x:v>
      </x:c>
      <x:c r="AN103" s="3">
        <x:v>88</x:v>
      </x:c>
      <x:c r="AO103" s="3">
        <x:v>50</x:v>
      </x:c>
      <x:c r="AP103" s="3">
        <x:v>50</x:v>
      </x:c>
      <x:c r="AQ103" s="5">
        <x:v>143.64230050155359</x:v>
      </x:c>
      <x:c r="AR103" s="5">
        <x:v>129.8961244978932</x:v>
      </x:c>
      <x:c r="AS103" s="5">
        <x:f t="shared" si="7"/>
        <x:v>100.00000000000009</x:v>
      </x:c>
      <x:c r="AT103" s="5">
        <x:v>172.3707606018643</x:v>
      </x:c>
      <x:c r="AU103" s="5">
        <x:v>175.3268516123216</x:v>
      </x:c>
      <x:c r="AV103" s="5">
        <x:v>74.263538130031776</x:v>
      </x:c>
      <x:c r="AW103" s="2" t="b">
        <x:v>0</x:v>
      </x:c>
      <x:c r="AX103" s="2"/>
      <x:c r="AY103" s="2" t="s">
        <x:v>68</x:v>
      </x:c>
      <x:c r="AZ103" s="6">
        <x:v>85</x:v>
      </x:c>
      <x:c r="BA103" s="6"/>
      <x:c r="BB103" s="7"/>
      <x:c r="BC103" s="7"/>
      <x:c r="BD103" s="8"/>
      <x:c r="BE103" s="2" t="e">
        <x:f>IF(AE103="Blocked","No",IF(AJ103&lt;=[1]Model_Parameters!$B$20,"Yes","No"))</x:f>
        <x:v>#NAME?</x:v>
      </x:c>
      <x:c r="BF103" s="2" t="str">
        <x:f t="shared" si="8"/>
        <x:v>Yes</x:v>
      </x:c>
      <x:c r="BG103" s="2" t="str">
        <x:f t="shared" si="9"/>
        <x:v>Yes</x:v>
      </x:c>
      <x:c r="BH103" s="24"/>
      <x:c r="BI103" s="24"/>
    </x:row>
    <x:row r="104">
      <x:c r="A104" s="2" t="s">
        <x:v>59</x:v>
      </x:c>
      <x:c r="B104" s="3">
        <x:v>213</x:v>
      </x:c>
      <x:c r="C104" s="2" t="s">
        <x:v>456</x:v>
      </x:c>
      <x:c r="D104" s="2" t="s">
        <x:v>457</x:v>
      </x:c>
      <x:c r="E104" s="2" t="s">
        <x:v>71</x:v>
      </x:c>
      <x:c r="F104" s="2" t="s">
        <x:v>72</x:v>
      </x:c>
      <x:c r="G104" s="3">
        <x:v>92</x:v>
      </x:c>
      <x:c r="H104" s="3">
        <x:v>1</x:v>
      </x:c>
      <x:c r="I104" s="3">
        <x:v>130</x:v>
      </x:c>
      <x:c r="J104" s="4">
        <x:v>0.14138118542686251</x:v>
      </x:c>
      <x:c r="K104" s="3">
        <x:v>0</x:v>
      </x:c>
      <x:c r="L104" s="2" t="s">
        <x:v>449</x:v>
      </x:c>
      <x:c r="M104" s="3">
        <x:v>1266</x:v>
      </x:c>
      <x:c r="N104" s="3">
        <x:v>85</x:v>
      </x:c>
      <x:c r="O104" s="5">
        <x:v>110.110958055842</x:v>
      </x:c>
      <x:c r="P104" s="5">
        <x:v>17.958340638760671</x:v>
      </x:c>
      <x:c r="Q104" s="5"/>
      <x:c r="R104" s="5">
        <x:v>84.713823014626243</x:v>
      </x:c>
      <x:c r="S104" s="5">
        <x:f t="shared" si="5"/>
        <x:v>73.505101198864338</x:v>
      </x:c>
      <x:c r="T104" s="5">
        <x:f t="shared" si="6"/>
        <x:v>73.505101198864338</x:v>
      </x:c>
      <x:c r="U104" s="5" t="e">
        <x:f>T104/[1]Model_Parameters!$B$22</x:f>
        <x:v>#NAME?</x:v>
      </x:c>
      <x:c r="V104" s="5">
        <x:v>338.31204401130321</x:v>
      </x:c>
      <x:c r="W104" s="5">
        <x:v>338.31204401130321</x:v>
      </x:c>
      <x:c r="X104" s="5">
        <x:v>93.503778495285587</x:v>
      </x:c>
      <x:c r="Y104" s="3">
        <x:v>7</x:v>
      </x:c>
      <x:c r="Z104" s="3">
        <x:v>0</x:v>
      </x:c>
      <x:c r="AA104" s="3"/>
      <x:c r="AB104" s="2"/>
      <x:c r="AC104" s="3"/>
      <x:c r="AD104" s="3"/>
      <x:c r="AE104" s="2" t="s">
        <x:v>65</x:v>
      </x:c>
      <x:c r="AF104" s="3">
        <x:v>2</x:v>
      </x:c>
      <x:c r="AG104" s="3">
        <x:v>0</x:v>
      </x:c>
      <x:c r="AH104" s="2" t="s">
        <x:v>449</x:v>
      </x:c>
      <x:c r="AI104" s="3">
        <x:v>85</x:v>
      </x:c>
      <x:c r="AJ104" s="3">
        <x:v>0</x:v>
      </x:c>
      <x:c r="AK104" s="2" t="s">
        <x:v>66</x:v>
      </x:c>
      <x:c r="AL104" s="3">
        <x:v>0</x:v>
      </x:c>
      <x:c r="AM104" s="2" t="s">
        <x:v>458</x:v>
      </x:c>
      <x:c r="AN104" s="3">
        <x:v>86</x:v>
      </x:c>
      <x:c r="AO104" s="3">
        <x:v>16</x:v>
      </x:c>
      <x:c r="AP104" s="3">
        <x:v>16</x:v>
      </x:c>
      <x:c r="AQ104" s="5">
        <x:v>78.611904654281361</x:v>
      </x:c>
      <x:c r="AR104" s="5">
        <x:v>73.505101198864367</x:v>
      </x:c>
      <x:c r="AS104" s="5">
        <x:f t="shared" si="7"/>
        <x:v>100.00000000000004</x:v>
      </x:c>
      <x:c r="AT104" s="5">
        <x:v>294.79464245355513</x:v>
      </x:c>
      <x:c r="AU104" s="5">
        <x:v>338.31204401130321</x:v>
      </x:c>
      <x:c r="AV104" s="5">
        <x:v>84.713823014626243</x:v>
      </x:c>
      <x:c r="AW104" s="2" t="b">
        <x:v>0</x:v>
      </x:c>
      <x:c r="AX104" s="2"/>
      <x:c r="AY104" s="2" t="s">
        <x:v>75</x:v>
      </x:c>
      <x:c r="AZ104" s="6">
        <x:v>85</x:v>
      </x:c>
      <x:c r="BA104" s="6"/>
      <x:c r="BB104" s="7"/>
      <x:c r="BC104" s="7"/>
      <x:c r="BD104" s="8"/>
      <x:c r="BE104" s="2" t="e">
        <x:f>IF(AE104="Blocked","No",IF(AJ104&lt;=[1]Model_Parameters!$B$20,"Yes","No"))</x:f>
        <x:v>#NAME?</x:v>
      </x:c>
      <x:c r="BF104" s="2" t="str">
        <x:f t="shared" si="8"/>
        <x:v>Yes</x:v>
      </x:c>
      <x:c r="BG104" s="2" t="str">
        <x:f t="shared" si="9"/>
        <x:v>Yes</x:v>
      </x:c>
      <x:c r="BH104" s="24"/>
      <x:c r="BI104" s="24"/>
    </x:row>
    <x:row r="105">
      <x:c r="A105" s="2" t="s">
        <x:v>59</x:v>
      </x:c>
      <x:c r="B105" s="3">
        <x:v>214</x:v>
      </x:c>
      <x:c r="C105" s="2" t="s">
        <x:v>459</x:v>
      </x:c>
      <x:c r="D105" s="2" t="s">
        <x:v>460</x:v>
      </x:c>
      <x:c r="E105" s="2" t="s">
        <x:v>71</x:v>
      </x:c>
      <x:c r="F105" s="2" t="s">
        <x:v>72</x:v>
      </x:c>
      <x:c r="G105" s="3">
        <x:v>93</x:v>
      </x:c>
      <x:c r="H105" s="3">
        <x:v>1</x:v>
      </x:c>
      <x:c r="I105" s="3">
        <x:v>130</x:v>
      </x:c>
      <x:c r="J105" s="4">
        <x:v>0.14138118542686251</x:v>
      </x:c>
      <x:c r="K105" s="3">
        <x:v>0</x:v>
      </x:c>
      <x:c r="L105" s="2" t="s">
        <x:v>461</x:v>
      </x:c>
      <x:c r="M105" s="3">
        <x:v>1268</x:v>
      </x:c>
      <x:c r="N105" s="3">
        <x:v>85</x:v>
      </x:c>
      <x:c r="O105" s="5">
        <x:v>103.89584148232311</x:v>
      </x:c>
      <x:c r="P105" s="5">
        <x:v>43.158820738339102</x:v>
      </x:c>
      <x:c r="Q105" s="5"/>
      <x:c r="R105" s="5">
        <x:v>72.141532339791695</x:v>
      </x:c>
      <x:c r="S105" s="5">
        <x:f t="shared" si="5"/>
        <x:v>30.111832102724055</x:v>
      </x:c>
      <x:c r="T105" s="5">
        <x:f t="shared" si="6"/>
        <x:v>30.111832102724055</x:v>
      </x:c>
      <x:c r="U105" s="5" t="e">
        <x:f>T105/[1]Model_Parameters!$B$22</x:f>
        <x:v>#NAME?</x:v>
      </x:c>
      <x:c r="V105" s="5">
        <x:v>303.63731232110098</x:v>
      </x:c>
      <x:c r="W105" s="5">
        <x:v>303.63731232110098</x:v>
      </x:c>
      <x:c r="X105" s="5">
        <x:v>92.532449489779523</x:v>
      </x:c>
      <x:c r="Y105" s="3">
        <x:v>8</x:v>
      </x:c>
      <x:c r="Z105" s="3">
        <x:v>0</x:v>
      </x:c>
      <x:c r="AA105" s="3"/>
      <x:c r="AB105" s="2"/>
      <x:c r="AC105" s="3"/>
      <x:c r="AD105" s="3"/>
      <x:c r="AE105" s="2" t="s">
        <x:v>65</x:v>
      </x:c>
      <x:c r="AF105" s="3">
        <x:v>3</x:v>
      </x:c>
      <x:c r="AG105" s="3">
        <x:v>0</x:v>
      </x:c>
      <x:c r="AH105" s="2" t="s">
        <x:v>461</x:v>
      </x:c>
      <x:c r="AI105" s="3">
        <x:v>85</x:v>
      </x:c>
      <x:c r="AJ105" s="3">
        <x:v>0</x:v>
      </x:c>
      <x:c r="AK105" s="2" t="s">
        <x:v>66</x:v>
      </x:c>
      <x:c r="AL105" s="3">
        <x:v>0</x:v>
      </x:c>
      <x:c r="AM105" s="2" t="s">
        <x:v>462</x:v>
      </x:c>
      <x:c r="AN105" s="3">
        <x:v>86</x:v>
      </x:c>
      <x:c r="AO105" s="3">
        <x:v>7</x:v>
      </x:c>
      <x:c r="AP105" s="3">
        <x:v>7</x:v>
      </x:c>
      <x:c r="AQ105" s="5">
        <x:v>32.541916126461118</x:v>
      </x:c>
      <x:c r="AR105" s="5">
        <x:v>30.111832102724058</x:v>
      </x:c>
      <x:c r="AS105" s="5">
        <x:f t="shared" si="7"/>
        <x:v>100.00000000000003</x:v>
      </x:c>
      <x:c r="AT105" s="5">
        <x:v>278.93070965538101</x:v>
      </x:c>
      <x:c r="AU105" s="5">
        <x:v>303.63731232110098</x:v>
      </x:c>
      <x:c r="AV105" s="5">
        <x:v>72.141532339791695</x:v>
      </x:c>
      <x:c r="AW105" s="2" t="b">
        <x:v>0</x:v>
      </x:c>
      <x:c r="AX105" s="2"/>
      <x:c r="AY105" s="2" t="s">
        <x:v>75</x:v>
      </x:c>
      <x:c r="AZ105" s="6">
        <x:v>85</x:v>
      </x:c>
      <x:c r="BA105" s="6"/>
      <x:c r="BB105" s="7"/>
      <x:c r="BC105" s="7"/>
      <x:c r="BD105" s="8"/>
      <x:c r="BE105" s="2" t="e">
        <x:f>IF(AE105="Blocked","No",IF(AJ105&lt;=[1]Model_Parameters!$B$20,"Yes","No"))</x:f>
        <x:v>#NAME?</x:v>
      </x:c>
      <x:c r="BF105" s="2" t="str">
        <x:f t="shared" si="8"/>
        <x:v>Yes</x:v>
      </x:c>
      <x:c r="BG105" s="2" t="str">
        <x:f t="shared" si="9"/>
        <x:v>Yes</x:v>
      </x:c>
      <x:c r="BH105" s="24"/>
      <x:c r="BI105" s="24"/>
    </x:row>
    <x:row r="106">
      <x:c r="A106" s="2" t="s">
        <x:v>59</x:v>
      </x:c>
      <x:c r="B106" s="3">
        <x:v>217</x:v>
      </x:c>
      <x:c r="C106" s="2" t="s">
        <x:v>463</x:v>
      </x:c>
      <x:c r="D106" s="2" t="s">
        <x:v>464</x:v>
      </x:c>
      <x:c r="E106" s="2" t="s">
        <x:v>71</x:v>
      </x:c>
      <x:c r="F106" s="2" t="s">
        <x:v>72</x:v>
      </x:c>
      <x:c r="G106" s="3">
        <x:v>94</x:v>
      </x:c>
      <x:c r="H106" s="3">
        <x:v>1</x:v>
      </x:c>
      <x:c r="I106" s="3">
        <x:v>130</x:v>
      </x:c>
      <x:c r="J106" s="4">
        <x:v>0.14138118542686251</x:v>
      </x:c>
      <x:c r="K106" s="3">
        <x:v>0</x:v>
      </x:c>
      <x:c r="L106" s="2" t="s">
        <x:v>465</x:v>
      </x:c>
      <x:c r="M106" s="3">
        <x:v>1274</x:v>
      </x:c>
      <x:c r="N106" s="3">
        <x:v>85</x:v>
      </x:c>
      <x:c r="O106" s="5">
        <x:v>61.088959130134661</x:v>
      </x:c>
      <x:c r="P106" s="5">
        <x:v>28.531788046938299</x:v>
      </x:c>
      <x:c r="Q106" s="5"/>
      <x:c r="R106" s="5">
        <x:v>75.900184097440032</x:v>
      </x:c>
      <x:c r="S106" s="5">
        <x:f t="shared" si="5"/>
        <x:v>28.936860103891323</x:v>
      </x:c>
      <x:c r="T106" s="5">
        <x:f t="shared" si="6"/>
        <x:v>28.936860103891323</x:v>
      </x:c>
      <x:c r="U106" s="5" t="e">
        <x:f>T106/[1]Model_Parameters!$B$22</x:f>
        <x:v>#NAME?</x:v>
      </x:c>
      <x:c r="V106" s="5">
        <x:v>337.36669064884268</x:v>
      </x:c>
      <x:c r="W106" s="5">
        <x:v>337.36669064884268</x:v>
      </x:c>
      <x:c r="X106" s="5">
        <x:v>91.559759593232243</x:v>
      </x:c>
      <x:c r="Y106" s="3">
        <x:v>8</x:v>
      </x:c>
      <x:c r="Z106" s="3">
        <x:v>0</x:v>
      </x:c>
      <x:c r="AA106" s="3"/>
      <x:c r="AB106" s="2"/>
      <x:c r="AC106" s="3"/>
      <x:c r="AD106" s="3"/>
      <x:c r="AE106" s="2" t="s">
        <x:v>65</x:v>
      </x:c>
      <x:c r="AF106" s="3">
        <x:v>7</x:v>
      </x:c>
      <x:c r="AG106" s="3">
        <x:v>0</x:v>
      </x:c>
      <x:c r="AH106" s="2" t="s">
        <x:v>465</x:v>
      </x:c>
      <x:c r="AI106" s="3">
        <x:v>85</x:v>
      </x:c>
      <x:c r="AJ106" s="3">
        <x:v>0</x:v>
      </x:c>
      <x:c r="AK106" s="2" t="s">
        <x:v>66</x:v>
      </x:c>
      <x:c r="AL106" s="3">
        <x:v>0</x:v>
      </x:c>
      <x:c r="AM106" s="2" t="s">
        <x:v>466</x:v>
      </x:c>
      <x:c r="AN106" s="3">
        <x:v>86</x:v>
      </x:c>
      <x:c r="AO106" s="3">
        <x:v>6</x:v>
      </x:c>
      <x:c r="AP106" s="3">
        <x:v>6</x:v>
      </x:c>
      <x:c r="AQ106" s="5">
        <x:v>31.604342598154041</x:v>
      </x:c>
      <x:c r="AR106" s="5">
        <x:v>28.93686010389133</x:v>
      </x:c>
      <x:c r="AS106" s="5">
        <x:f t="shared" si="7"/>
        <x:v>100.00000000000003</x:v>
      </x:c>
      <x:c r="AT106" s="5">
        <x:v>316.04342598154039</x:v>
      </x:c>
      <x:c r="AU106" s="5">
        <x:v>337.36669064884268</x:v>
      </x:c>
      <x:c r="AV106" s="5">
        <x:v>75.900184097440032</x:v>
      </x:c>
      <x:c r="AW106" s="2" t="b">
        <x:v>0</x:v>
      </x:c>
      <x:c r="AX106" s="2"/>
      <x:c r="AY106" s="2" t="s">
        <x:v>75</x:v>
      </x:c>
      <x:c r="AZ106" s="6">
        <x:v>85</x:v>
      </x:c>
      <x:c r="BA106" s="6"/>
      <x:c r="BB106" s="7"/>
      <x:c r="BC106" s="7"/>
      <x:c r="BD106" s="8"/>
      <x:c r="BE106" s="2" t="e">
        <x:f>IF(AE106="Blocked","No",IF(AJ106&lt;=[1]Model_Parameters!$B$20,"Yes","No"))</x:f>
        <x:v>#NAME?</x:v>
      </x:c>
      <x:c r="BF106" s="2" t="str">
        <x:f t="shared" si="8"/>
        <x:v>Yes</x:v>
      </x:c>
      <x:c r="BG106" s="2" t="str">
        <x:f t="shared" si="9"/>
        <x:v>Yes</x:v>
      </x:c>
      <x:c r="BH106" s="24"/>
      <x:c r="BI106" s="24"/>
    </x:row>
    <x:row r="107">
      <x:c r="A107" s="2" t="s">
        <x:v>59</x:v>
      </x:c>
      <x:c r="B107" s="3">
        <x:v>224</x:v>
      </x:c>
      <x:c r="C107" s="2" t="s">
        <x:v>467</x:v>
      </x:c>
      <x:c r="D107" s="2" t="s">
        <x:v>468</x:v>
      </x:c>
      <x:c r="E107" s="2" t="s">
        <x:v>71</x:v>
      </x:c>
      <x:c r="F107" s="2" t="s">
        <x:v>72</x:v>
      </x:c>
      <x:c r="G107" s="3">
        <x:v>95</x:v>
      </x:c>
      <x:c r="H107" s="3">
        <x:v>1</x:v>
      </x:c>
      <x:c r="I107" s="3">
        <x:v>130</x:v>
      </x:c>
      <x:c r="J107" s="4">
        <x:v>0.14138118542686251</x:v>
      </x:c>
      <x:c r="K107" s="3">
        <x:v>0</x:v>
      </x:c>
      <x:c r="L107" s="2" t="s">
        <x:v>469</x:v>
      </x:c>
      <x:c r="M107" s="3">
        <x:v>1287</x:v>
      </x:c>
      <x:c r="N107" s="3">
        <x:v>86</x:v>
      </x:c>
      <x:c r="O107" s="5">
        <x:v>114.80331705521399</x:v>
      </x:c>
      <x:c r="P107" s="5">
        <x:v>13.81906962050101</x:v>
      </x:c>
      <x:c r="Q107" s="5"/>
      <x:c r="R107" s="5">
        <x:v>83.842259709295135</x:v>
      </x:c>
      <x:c r="S107" s="5">
        <x:f t="shared" si="5"/>
        <x:v>80.388944929813491</x:v>
      </x:c>
      <x:c r="T107" s="5">
        <x:f t="shared" si="6"/>
        <x:v>80.388944929813491</x:v>
      </x:c>
      <x:c r="U107" s="5" t="e">
        <x:f>T107/[1]Model_Parameters!$B$22</x:f>
        <x:v>#NAME?</x:v>
      </x:c>
      <x:c r="V107" s="5">
        <x:v>319.57479234063538</x:v>
      </x:c>
      <x:c r="W107" s="5">
        <x:v>319.57479234063538</x:v>
      </x:c>
      <x:c r="X107" s="5">
        <x:v>94.043541049064217</x:v>
      </x:c>
      <x:c r="Y107" s="3">
        <x:v>7</x:v>
      </x:c>
      <x:c r="Z107" s="3">
        <x:v>0</x:v>
      </x:c>
      <x:c r="AA107" s="3"/>
      <x:c r="AB107" s="2"/>
      <x:c r="AC107" s="3"/>
      <x:c r="AD107" s="3"/>
      <x:c r="AE107" s="2" t="s">
        <x:v>65</x:v>
      </x:c>
      <x:c r="AF107" s="3">
        <x:v>7</x:v>
      </x:c>
      <x:c r="AG107" s="3">
        <x:v>0</x:v>
      </x:c>
      <x:c r="AH107" s="2" t="s">
        <x:v>469</x:v>
      </x:c>
      <x:c r="AI107" s="3">
        <x:v>86</x:v>
      </x:c>
      <x:c r="AJ107" s="3">
        <x:v>0</x:v>
      </x:c>
      <x:c r="AK107" s="2" t="s">
        <x:v>66</x:v>
      </x:c>
      <x:c r="AL107" s="3">
        <x:v>0</x:v>
      </x:c>
      <x:c r="AM107" s="2" t="s">
        <x:v>470</x:v>
      </x:c>
      <x:c r="AN107" s="3">
        <x:v>88</x:v>
      </x:c>
      <x:c r="AO107" s="3">
        <x:v>18</x:v>
      </x:c>
      <x:c r="AP107" s="3">
        <x:v>18</x:v>
      </x:c>
      <x:c r="AQ107" s="5">
        <x:v>85.480559359066618</x:v>
      </x:c>
      <x:c r="AR107" s="5">
        <x:v>80.388944929813491</x:v>
      </x:c>
      <x:c r="AS107" s="5">
        <x:f t="shared" si="7"/>
        <x:v>100</x:v>
      </x:c>
      <x:c r="AT107" s="5">
        <x:v>284.9351978635554</x:v>
      </x:c>
      <x:c r="AU107" s="5">
        <x:v>319.57479234063538</x:v>
      </x:c>
      <x:c r="AV107" s="5">
        <x:v>83.842259709295135</x:v>
      </x:c>
      <x:c r="AW107" s="2" t="b">
        <x:v>0</x:v>
      </x:c>
      <x:c r="AX107" s="2"/>
      <x:c r="AY107" s="2" t="s">
        <x:v>75</x:v>
      </x:c>
      <x:c r="AZ107" s="6">
        <x:v>86</x:v>
      </x:c>
      <x:c r="BA107" s="6"/>
      <x:c r="BB107" s="7"/>
      <x:c r="BC107" s="7"/>
      <x:c r="BD107" s="8"/>
      <x:c r="BE107" s="2" t="e">
        <x:f>IF(AE107="Blocked","No",IF(AJ107&lt;=[1]Model_Parameters!$B$20,"Yes","No"))</x:f>
        <x:v>#NAME?</x:v>
      </x:c>
      <x:c r="BF107" s="2" t="str">
        <x:f t="shared" si="8"/>
        <x:v>Yes</x:v>
      </x:c>
      <x:c r="BG107" s="2" t="str">
        <x:f t="shared" si="9"/>
        <x:v>Yes</x:v>
      </x:c>
      <x:c r="BH107" s="24"/>
      <x:c r="BI107" s="24"/>
    </x:row>
    <x:row r="108">
      <x:c r="A108" s="2" t="s">
        <x:v>59</x:v>
      </x:c>
      <x:c r="B108" s="3">
        <x:v>225</x:v>
      </x:c>
      <x:c r="C108" s="2" t="s">
        <x:v>471</x:v>
      </x:c>
      <x:c r="D108" s="2" t="s">
        <x:v>472</x:v>
      </x:c>
      <x:c r="E108" s="2" t="s">
        <x:v>71</x:v>
      </x:c>
      <x:c r="F108" s="2" t="s">
        <x:v>72</x:v>
      </x:c>
      <x:c r="G108" s="3">
        <x:v>96</x:v>
      </x:c>
      <x:c r="H108" s="3">
        <x:v>1</x:v>
      </x:c>
      <x:c r="I108" s="3">
        <x:v>130</x:v>
      </x:c>
      <x:c r="J108" s="4">
        <x:v>0.14138118542686251</x:v>
      </x:c>
      <x:c r="K108" s="3">
        <x:v>0</x:v>
      </x:c>
      <x:c r="L108" s="2" t="s">
        <x:v>473</x:v>
      </x:c>
      <x:c r="M108" s="3">
        <x:v>1288</x:v>
      </x:c>
      <x:c r="N108" s="3">
        <x:v>86</x:v>
      </x:c>
      <x:c r="O108" s="5">
        <x:v>103.62750463798611</x:v>
      </x:c>
      <x:c r="P108" s="5">
        <x:v>3.9208281332934671</x:v>
      </x:c>
      <x:c r="Q108" s="5"/>
      <x:c r="R108" s="5">
        <x:v>71.800379398306575</x:v>
      </x:c>
      <x:c r="S108" s="5">
        <x:f t="shared" si="5"/>
        <x:v>70.341885135395614</x:v>
      </x:c>
      <x:c r="T108" s="5">
        <x:f t="shared" si="6"/>
        <x:v>70.341885135395614</x:v>
      </x:c>
      <x:c r="U108" s="5" t="e">
        <x:f>T108/[1]Model_Parameters!$B$22</x:f>
        <x:v>#NAME?</x:v>
      </x:c>
      <x:c r="V108" s="5">
        <x:v>193.28715408815091</x:v>
      </x:c>
      <x:c r="W108" s="5">
        <x:v>193.28715408815091</x:v>
      </x:c>
      <x:c r="X108" s="5">
        <x:v>91.204735582828746</x:v>
      </x:c>
      <x:c r="Y108" s="3">
        <x:v>8</x:v>
      </x:c>
      <x:c r="Z108" s="3">
        <x:v>0</x:v>
      </x:c>
      <x:c r="AA108" s="3"/>
      <x:c r="AB108" s="2"/>
      <x:c r="AC108" s="3"/>
      <x:c r="AD108" s="3"/>
      <x:c r="AE108" s="2" t="s">
        <x:v>65</x:v>
      </x:c>
      <x:c r="AF108" s="3">
        <x:v>8</x:v>
      </x:c>
      <x:c r="AG108" s="3">
        <x:v>0</x:v>
      </x:c>
      <x:c r="AH108" s="2" t="s">
        <x:v>473</x:v>
      </x:c>
      <x:c r="AI108" s="3">
        <x:v>86</x:v>
      </x:c>
      <x:c r="AJ108" s="3">
        <x:v>0</x:v>
      </x:c>
      <x:c r="AK108" s="2" t="s">
        <x:v>66</x:v>
      </x:c>
      <x:c r="AL108" s="3">
        <x:v>0</x:v>
      </x:c>
      <x:c r="AM108" s="2" t="s">
        <x:v>474</x:v>
      </x:c>
      <x:c r="AN108" s="3">
        <x:v>88</x:v>
      </x:c>
      <x:c r="AO108" s="3">
        <x:v>24</x:v>
      </x:c>
      <x:c r="AP108" s="3">
        <x:v>24</x:v>
      </x:c>
      <x:c r="AQ108" s="5">
        <x:v>77.125255268695739</x:v>
      </x:c>
      <x:c r="AR108" s="5">
        <x:v>70.341885135395643</x:v>
      </x:c>
      <x:c r="AS108" s="5">
        <x:f t="shared" si="7"/>
        <x:v>100.00000000000004</x:v>
      </x:c>
      <x:c r="AT108" s="5">
        <x:v>192.8131381717393</x:v>
      </x:c>
      <x:c r="AU108" s="5">
        <x:v>193.287154088151</x:v>
      </x:c>
      <x:c r="AV108" s="5">
        <x:v>71.800379398306575</x:v>
      </x:c>
      <x:c r="AW108" s="2" t="b">
        <x:v>0</x:v>
      </x:c>
      <x:c r="AX108" s="2"/>
      <x:c r="AY108" s="2" t="s">
        <x:v>75</x:v>
      </x:c>
      <x:c r="AZ108" s="6">
        <x:v>86</x:v>
      </x:c>
      <x:c r="BA108" s="6"/>
      <x:c r="BB108" s="7"/>
      <x:c r="BC108" s="7"/>
      <x:c r="BD108" s="8"/>
      <x:c r="BE108" s="2" t="e">
        <x:f>IF(AE108="Blocked","No",IF(AJ108&lt;=[1]Model_Parameters!$B$20,"Yes","No"))</x:f>
        <x:v>#NAME?</x:v>
      </x:c>
      <x:c r="BF108" s="2" t="str">
        <x:f t="shared" si="8"/>
        <x:v>Yes</x:v>
      </x:c>
      <x:c r="BG108" s="2" t="str">
        <x:f t="shared" si="9"/>
        <x:v>Yes</x:v>
      </x:c>
      <x:c r="BH108" s="24"/>
      <x:c r="BI108" s="24"/>
    </x:row>
    <x:row r="109">
      <x:c r="A109" s="2" t="s">
        <x:v>59</x:v>
      </x:c>
      <x:c r="B109" s="3">
        <x:v>231</x:v>
      </x:c>
      <x:c r="C109" s="2" t="s">
        <x:v>475</x:v>
      </x:c>
      <x:c r="D109" s="2" t="s">
        <x:v>476</x:v>
      </x:c>
      <x:c r="E109" s="2" t="s">
        <x:v>71</x:v>
      </x:c>
      <x:c r="F109" s="2" t="s">
        <x:v>72</x:v>
      </x:c>
      <x:c r="G109" s="3">
        <x:v>97</x:v>
      </x:c>
      <x:c r="H109" s="3">
        <x:v>1</x:v>
      </x:c>
      <x:c r="I109" s="3">
        <x:v>130</x:v>
      </x:c>
      <x:c r="J109" s="4">
        <x:v>0.14138118542686251</x:v>
      </x:c>
      <x:c r="K109" s="3">
        <x:v>0</x:v>
      </x:c>
      <x:c r="L109" s="2" t="s">
        <x:v>477</x:v>
      </x:c>
      <x:c r="M109" s="3">
        <x:v>1294</x:v>
      </x:c>
      <x:c r="N109" s="3">
        <x:v>87</x:v>
      </x:c>
      <x:c r="O109" s="5">
        <x:v>96.874668395059985</x:v>
      </x:c>
      <x:c r="P109" s="5">
        <x:v>66.48744973225341</x:v>
      </x:c>
      <x:c r="Q109" s="5"/>
      <x:c r="R109" s="5">
        <x:v>79.675653769354426</x:v>
      </x:c>
      <x:c r="S109" s="5">
        <x:f t="shared" si="5"/>
        <x:v>12.776028928205523</x:v>
      </x:c>
      <x:c r="T109" s="5">
        <x:f t="shared" si="6"/>
        <x:v>12.776028928205523</x:v>
      </x:c>
      <x:c r="U109" s="5" t="e">
        <x:f>T109/[1]Model_Parameters!$B$22</x:f>
        <x:v>#NAME?</x:v>
      </x:c>
      <x:c r="V109" s="5">
        <x:v>201.91656140809289</x:v>
      </x:c>
      <x:c r="W109" s="5">
        <x:v>201.91656140809289</x:v>
      </x:c>
      <x:c r="X109" s="5">
        <x:v>90.196378831172225</x:v>
      </x:c>
      <x:c r="Y109" s="3">
        <x:v>10</x:v>
      </x:c>
      <x:c r="Z109" s="3">
        <x:v>2</x:v>
      </x:c>
      <x:c r="AA109" s="3">
        <x:v>3</x:v>
      </x:c>
      <x:c r="AB109" s="2"/>
      <x:c r="AC109" s="3"/>
      <x:c r="AD109" s="3"/>
      <x:c r="AE109" s="2" t="s">
        <x:v>136</x:v>
      </x:c>
      <x:c r="AF109" s="3">
        <x:v>5</x:v>
      </x:c>
      <x:c r="AG109" s="3">
        <x:v>0</x:v>
      </x:c>
      <x:c r="AH109" s="2" t="s">
        <x:v>478</x:v>
      </x:c>
      <x:c r="AI109" s="3">
        <x:v>88</x:v>
      </x:c>
      <x:c r="AJ109" s="3">
        <x:v>24</x:v>
      </x:c>
      <x:c r="AK109" s="2" t="s">
        <x:v>66</x:v>
      </x:c>
      <x:c r="AL109" s="3">
        <x:v>0</x:v>
      </x:c>
      <x:c r="AM109" s="2" t="s">
        <x:v>479</x:v>
      </x:c>
      <x:c r="AN109" s="3">
        <x:v>89</x:v>
      </x:c>
      <x:c r="AO109" s="3">
        <x:v>6</x:v>
      </x:c>
      <x:c r="AP109" s="3">
        <x:v>30</x:v>
      </x:c>
      <x:c r="AQ109" s="5">
        <x:v>14.16468054900457</x:v>
      </x:c>
      <x:c r="AR109" s="5">
        <x:v>12.77602892820553</x:v>
      </x:c>
      <x:c r="AS109" s="5">
        <x:f t="shared" si="7"/>
        <x:v>100.00000000000007</x:v>
      </x:c>
      <x:c r="AT109" s="5">
        <x:v>141.64680549004569</x:v>
      </x:c>
      <x:c r="AU109" s="5">
        <x:v>201.91656140809289</x:v>
      </x:c>
      <x:c r="AV109" s="5">
        <x:v>79.675653769354426</x:v>
      </x:c>
      <x:c r="AW109" s="2" t="b">
        <x:v>0</x:v>
      </x:c>
      <x:c r="AX109" s="2"/>
      <x:c r="AY109" s="2" t="s">
        <x:v>75</x:v>
      </x:c>
      <x:c r="AZ109" s="6">
        <x:v>87</x:v>
      </x:c>
      <x:c r="BA109" s="6"/>
      <x:c r="BB109" s="7"/>
      <x:c r="BC109" s="7"/>
      <x:c r="BD109" s="8"/>
      <x:c r="BE109" s="2" t="e">
        <x:f>IF(AE109="Blocked","No",IF(AJ109&lt;=[1]Model_Parameters!$B$20,"Yes","No"))</x:f>
        <x:v>#NAME?</x:v>
      </x:c>
      <x:c r="BF109" s="2" t="str">
        <x:f t="shared" si="8"/>
        <x:v>Yes</x:v>
      </x:c>
      <x:c r="BG109" s="2" t="str">
        <x:f t="shared" si="9"/>
        <x:v>No</x:v>
      </x:c>
      <x:c r="BH109" s="24"/>
      <x:c r="BI109" s="24"/>
    </x:row>
    <x:row r="110">
      <x:c r="A110" s="2" t="s">
        <x:v>59</x:v>
      </x:c>
      <x:c r="B110" s="3">
        <x:v>235</x:v>
      </x:c>
      <x:c r="C110" s="2" t="s">
        <x:v>480</x:v>
      </x:c>
      <x:c r="D110" s="2" t="s">
        <x:v>481</x:v>
      </x:c>
      <x:c r="E110" s="2" t="s">
        <x:v>71</x:v>
      </x:c>
      <x:c r="F110" s="2" t="s">
        <x:v>72</x:v>
      </x:c>
      <x:c r="G110" s="3">
        <x:v>98</x:v>
      </x:c>
      <x:c r="H110" s="3">
        <x:v>1</x:v>
      </x:c>
      <x:c r="I110" s="3">
        <x:v>130</x:v>
      </x:c>
      <x:c r="J110" s="4">
        <x:v>0.14138118542686251</x:v>
      </x:c>
      <x:c r="K110" s="3">
        <x:v>0</x:v>
      </x:c>
      <x:c r="L110" s="2" t="s">
        <x:v>482</x:v>
      </x:c>
      <x:c r="M110" s="3">
        <x:v>1299</x:v>
      </x:c>
      <x:c r="N110" s="3">
        <x:v>87</x:v>
      </x:c>
      <x:c r="O110" s="5">
        <x:v>112.8539426425976</x:v>
      </x:c>
      <x:c r="P110" s="5">
        <x:v>19.566552871207719</x:v>
      </x:c>
      <x:c r="Q110" s="5"/>
      <x:c r="R110" s="5">
        <x:v>96.060915679811217</x:v>
      </x:c>
      <x:c r="S110" s="5">
        <x:f t="shared" si="5"/>
        <x:v>86.326904328841906</x:v>
      </x:c>
      <x:c r="T110" s="5">
        <x:f t="shared" si="6"/>
        <x:v>86.326904328841906</x:v>
      </x:c>
      <x:c r="U110" s="5" t="e">
        <x:f>T110/[1]Model_Parameters!$B$22</x:f>
        <x:v>#NAME?</x:v>
      </x:c>
      <x:c r="V110" s="5">
        <x:v>224.21441241992429</x:v>
      </x:c>
      <x:c r="W110" s="5">
        <x:v>224.21441241992429</x:v>
      </x:c>
      <x:c r="X110" s="5">
        <x:v>90.514039296774897</x:v>
      </x:c>
      <x:c r="Y110" s="3">
        <x:v>10</x:v>
      </x:c>
      <x:c r="Z110" s="3">
        <x:v>6</x:v>
      </x:c>
      <x:c r="AA110" s="3">
        <x:v>7</x:v>
      </x:c>
      <x:c r="AB110" s="2"/>
      <x:c r="AC110" s="3"/>
      <x:c r="AD110" s="3"/>
      <x:c r="AE110" s="2" t="s">
        <x:v>136</x:v>
      </x:c>
      <x:c r="AF110" s="3">
        <x:v>7</x:v>
      </x:c>
      <x:c r="AG110" s="3">
        <x:v>0</x:v>
      </x:c>
      <x:c r="AH110" s="2" t="s">
        <x:v>483</x:v>
      </x:c>
      <x:c r="AI110" s="3">
        <x:v>88</x:v>
      </x:c>
      <x:c r="AJ110" s="3">
        <x:v>20</x:v>
      </x:c>
      <x:c r="AK110" s="2" t="s">
        <x:v>66</x:v>
      </x:c>
      <x:c r="AL110" s="3">
        <x:v>0</x:v>
      </x:c>
      <x:c r="AM110" s="2" t="s">
        <x:v>484</x:v>
      </x:c>
      <x:c r="AN110" s="3">
        <x:v>91</x:v>
      </x:c>
      <x:c r="AO110" s="3">
        <x:v>40</x:v>
      </x:c>
      <x:c r="AP110" s="3">
        <x:v>60</x:v>
      </x:c>
      <x:c r="AQ110" s="5">
        <x:v>95.374049152524975</x:v>
      </x:c>
      <x:c r="AR110" s="5">
        <x:v>86.326904328841849</x:v>
      </x:c>
      <x:c r="AS110" s="5">
        <x:f t="shared" si="7"/>
        <x:v>99.999999999999929</x:v>
      </x:c>
      <x:c r="AT110" s="5">
        <x:v>143.06107372878751</x:v>
      </x:c>
      <x:c r="AU110" s="5">
        <x:v>224.21441241992429</x:v>
      </x:c>
      <x:c r="AV110" s="5">
        <x:v>96.060915679811217</x:v>
      </x:c>
      <x:c r="AW110" s="2" t="b">
        <x:v>0</x:v>
      </x:c>
      <x:c r="AX110" s="2"/>
      <x:c r="AY110" s="2" t="s">
        <x:v>75</x:v>
      </x:c>
      <x:c r="AZ110" s="6">
        <x:v>87</x:v>
      </x:c>
      <x:c r="BA110" s="6"/>
      <x:c r="BB110" s="7"/>
      <x:c r="BC110" s="7"/>
      <x:c r="BD110" s="8"/>
      <x:c r="BE110" s="2" t="e">
        <x:f>IF(AE110="Blocked","No",IF(AJ110&lt;=[1]Model_Parameters!$B$20,"Yes","No"))</x:f>
        <x:v>#NAME?</x:v>
      </x:c>
      <x:c r="BF110" s="2" t="str">
        <x:f t="shared" si="8"/>
        <x:v>Yes</x:v>
      </x:c>
      <x:c r="BG110" s="2" t="str">
        <x:f t="shared" si="9"/>
        <x:v>No</x:v>
      </x:c>
      <x:c r="BH110" s="24"/>
      <x:c r="BI110" s="24"/>
    </x:row>
    <x:row r="111">
      <x:c r="A111" s="2" t="s">
        <x:v>59</x:v>
      </x:c>
      <x:c r="B111" s="3">
        <x:v>236</x:v>
      </x:c>
      <x:c r="C111" s="2" t="s">
        <x:v>485</x:v>
      </x:c>
      <x:c r="D111" s="2" t="s">
        <x:v>486</x:v>
      </x:c>
      <x:c r="E111" s="2" t="s">
        <x:v>71</x:v>
      </x:c>
      <x:c r="F111" s="2" t="s">
        <x:v>72</x:v>
      </x:c>
      <x:c r="G111" s="3">
        <x:v>99</x:v>
      </x:c>
      <x:c r="H111" s="3">
        <x:v>1</x:v>
      </x:c>
      <x:c r="I111" s="3">
        <x:v>130</x:v>
      </x:c>
      <x:c r="J111" s="4">
        <x:v>0.14138118542686251</x:v>
      </x:c>
      <x:c r="K111" s="3">
        <x:v>0</x:v>
      </x:c>
      <x:c r="L111" s="2" t="s">
        <x:v>487</x:v>
      </x:c>
      <x:c r="M111" s="3">
        <x:v>1301</x:v>
      </x:c>
      <x:c r="N111" s="3">
        <x:v>87</x:v>
      </x:c>
      <x:c r="O111" s="5">
        <x:v>92.451789637027531</x:v>
      </x:c>
      <x:c r="P111" s="5">
        <x:v>24.515018174020501</x:v>
      </x:c>
      <x:c r="Q111" s="5"/>
      <x:c r="R111" s="5">
        <x:v>65.521365736832308</x:v>
      </x:c>
      <x:c r="S111" s="5">
        <x:f t="shared" si="5"/>
        <x:v>37.911102186599145</x:v>
      </x:c>
      <x:c r="T111" s="5">
        <x:f t="shared" si="6"/>
        <x:v>37.911102186599145</x:v>
      </x:c>
      <x:c r="U111" s="5" t="e">
        <x:f>T111/[1]Model_Parameters!$B$22</x:f>
        <x:v>#NAME?</x:v>
      </x:c>
      <x:c r="V111" s="5">
        <x:v>379.14155529515352</x:v>
      </x:c>
      <x:c r="W111" s="5">
        <x:v>379.14155529515352</x:v>
      </x:c>
      <x:c r="X111" s="5">
        <x:v>92.661996412276153</x:v>
      </x:c>
      <x:c r="Y111" s="3">
        <x:v>10</x:v>
      </x:c>
      <x:c r="Z111" s="3">
        <x:v>7</x:v>
      </x:c>
      <x:c r="AA111" s="3">
        <x:v>8</x:v>
      </x:c>
      <x:c r="AB111" s="2"/>
      <x:c r="AC111" s="3"/>
      <x:c r="AD111" s="3"/>
      <x:c r="AE111" s="2" t="s">
        <x:v>136</x:v>
      </x:c>
      <x:c r="AF111" s="3">
        <x:v>5</x:v>
      </x:c>
      <x:c r="AG111" s="3">
        <x:v>0</x:v>
      </x:c>
      <x:c r="AH111" s="2" t="s">
        <x:v>479</x:v>
      </x:c>
      <x:c r="AI111" s="3">
        <x:v>89</x:v>
      </x:c>
      <x:c r="AJ111" s="3">
        <x:v>23</x:v>
      </x:c>
      <x:c r="AK111" s="2" t="s">
        <x:v>66</x:v>
      </x:c>
      <x:c r="AL111" s="3">
        <x:v>0</x:v>
      </x:c>
      <x:c r="AM111" s="2" t="s">
        <x:v>488</x:v>
      </x:c>
      <x:c r="AN111" s="3">
        <x:v>89</x:v>
      </x:c>
      <x:c r="AO111" s="3">
        <x:v>7</x:v>
      </x:c>
      <x:c r="AP111" s="3">
        <x:v>30</x:v>
      </x:c>
      <x:c r="AQ111" s="5">
        <x:v>40.913323319652271</x:v>
      </x:c>
      <x:c r="AR111" s="5">
        <x:v>37.911102186599138</x:v>
      </x:c>
      <x:c r="AS111" s="5">
        <x:f t="shared" si="7"/>
        <x:v>99.999999999999972</x:v>
      </x:c>
      <x:c r="AT111" s="5">
        <x:v>350.68562845416233</x:v>
      </x:c>
      <x:c r="AU111" s="5">
        <x:v>379.14155529515352</x:v>
      </x:c>
      <x:c r="AV111" s="5">
        <x:v>65.521365736832308</x:v>
      </x:c>
      <x:c r="AW111" s="2" t="b">
        <x:v>0</x:v>
      </x:c>
      <x:c r="AX111" s="2"/>
      <x:c r="AY111" s="2" t="s">
        <x:v>75</x:v>
      </x:c>
      <x:c r="AZ111" s="6">
        <x:v>87</x:v>
      </x:c>
      <x:c r="BA111" s="6"/>
      <x:c r="BB111" s="7"/>
      <x:c r="BC111" s="7"/>
      <x:c r="BD111" s="8"/>
      <x:c r="BE111" s="2" t="e">
        <x:f>IF(AE111="Blocked","No",IF(AJ111&lt;=[1]Model_Parameters!$B$20,"Yes","No"))</x:f>
        <x:v>#NAME?</x:v>
      </x:c>
      <x:c r="BF111" s="2" t="str">
        <x:f t="shared" si="8"/>
        <x:v>Yes</x:v>
      </x:c>
      <x:c r="BG111" s="2" t="str">
        <x:f t="shared" si="9"/>
        <x:v>No</x:v>
      </x:c>
      <x:c r="BH111" s="24"/>
      <x:c r="BI111" s="24"/>
    </x:row>
    <x:row r="112">
      <x:c r="A112" s="2" t="s">
        <x:v>59</x:v>
      </x:c>
      <x:c r="B112" s="3">
        <x:v>239</x:v>
      </x:c>
      <x:c r="C112" s="2" t="s">
        <x:v>489</x:v>
      </x:c>
      <x:c r="D112" s="2" t="s">
        <x:v>490</x:v>
      </x:c>
      <x:c r="E112" s="2" t="s">
        <x:v>71</x:v>
      </x:c>
      <x:c r="F112" s="2" t="s">
        <x:v>72</x:v>
      </x:c>
      <x:c r="G112" s="3">
        <x:v>100</x:v>
      </x:c>
      <x:c r="H112" s="3">
        <x:v>1</x:v>
      </x:c>
      <x:c r="I112" s="3">
        <x:v>130</x:v>
      </x:c>
      <x:c r="J112" s="4">
        <x:v>0.14138118542686251</x:v>
      </x:c>
      <x:c r="K112" s="3">
        <x:v>0</x:v>
      </x:c>
      <x:c r="L112" s="2" t="s">
        <x:v>491</x:v>
      </x:c>
      <x:c r="M112" s="3">
        <x:v>1303</x:v>
      </x:c>
      <x:c r="N112" s="3">
        <x:v>87</x:v>
      </x:c>
      <x:c r="O112" s="5">
        <x:v>200.13087038091061</x:v>
      </x:c>
      <x:c r="P112" s="5">
        <x:v>26.51610624322111</x:v>
      </x:c>
      <x:c r="Q112" s="5"/>
      <x:c r="R112" s="5">
        <x:v>82.801894809939398</x:v>
      </x:c>
      <x:c r="S112" s="5">
        <x:f t="shared" si="5"/>
        <x:v>112.64523855933237</x:v>
      </x:c>
      <x:c r="T112" s="5">
        <x:f t="shared" si="6"/>
        <x:v>112.64523855933237</x:v>
      </x:c>
      <x:c r="U112" s="5" t="e">
        <x:f>T112/[1]Model_Parameters!$B$22</x:f>
        <x:v>#NAME?</x:v>
      </x:c>
      <x:c r="V112" s="5">
        <x:v>305.87192569429283</x:v>
      </x:c>
      <x:c r="W112" s="5">
        <x:v>305.87192569429283</x:v>
      </x:c>
      <x:c r="X112" s="5">
        <x:v>94.011272120107492</x:v>
      </x:c>
      <x:c r="Y112" s="3">
        <x:v>10</x:v>
      </x:c>
      <x:c r="Z112" s="3">
        <x:v>9</x:v>
      </x:c>
      <x:c r="AA112" s="3">
        <x:v>10</x:v>
      </x:c>
      <x:c r="AB112" s="2"/>
      <x:c r="AC112" s="3"/>
      <x:c r="AD112" s="3"/>
      <x:c r="AE112" s="2" t="s">
        <x:v>136</x:v>
      </x:c>
      <x:c r="AF112" s="3">
        <x:v>3</x:v>
      </x:c>
      <x:c r="AG112" s="3">
        <x:v>0</x:v>
      </x:c>
      <x:c r="AH112" s="2" t="s">
        <x:v>492</x:v>
      </x:c>
      <x:c r="AI112" s="3">
        <x:v>89</x:v>
      </x:c>
      <x:c r="AJ112" s="3">
        <x:v>22</x:v>
      </x:c>
      <x:c r="AK112" s="2" t="s">
        <x:v>66</x:v>
      </x:c>
      <x:c r="AL112" s="3">
        <x:v>0</x:v>
      </x:c>
      <x:c r="AM112" s="2" t="s">
        <x:v>493</x:v>
      </x:c>
      <x:c r="AN112" s="3">
        <x:v>91</x:v>
      </x:c>
      <x:c r="AO112" s="3">
        <x:v>27</x:v>
      </x:c>
      <x:c r="AP112" s="3">
        <x:v>49</x:v>
      </x:c>
      <x:c r="AQ112" s="5">
        <x:v>119.8209916949304</x:v>
      </x:c>
      <x:c r="AR112" s="5">
        <x:v>112.6452385593324</x:v>
      </x:c>
      <x:c r="AS112" s="5">
        <x:f t="shared" si="7"/>
        <x:v>100.00000000000003</x:v>
      </x:c>
      <x:c r="AT112" s="5">
        <x:v>266.26887043317868</x:v>
      </x:c>
      <x:c r="AU112" s="5">
        <x:v>305.87192569429283</x:v>
      </x:c>
      <x:c r="AV112" s="5">
        <x:v>82.801894809939398</x:v>
      </x:c>
      <x:c r="AW112" s="2" t="b">
        <x:v>0</x:v>
      </x:c>
      <x:c r="AX112" s="2"/>
      <x:c r="AY112" s="2" t="s">
        <x:v>75</x:v>
      </x:c>
      <x:c r="AZ112" s="6">
        <x:v>87</x:v>
      </x:c>
      <x:c r="BA112" s="6"/>
      <x:c r="BB112" s="7"/>
      <x:c r="BC112" s="7"/>
      <x:c r="BD112" s="8"/>
      <x:c r="BE112" s="2" t="e">
        <x:f>IF(AE112="Blocked","No",IF(AJ112&lt;=[1]Model_Parameters!$B$20,"Yes","No"))</x:f>
        <x:v>#NAME?</x:v>
      </x:c>
      <x:c r="BF112" s="2" t="str">
        <x:f t="shared" si="8"/>
        <x:v>Yes</x:v>
      </x:c>
      <x:c r="BG112" s="2" t="str">
        <x:f t="shared" si="9"/>
        <x:v>No</x:v>
      </x:c>
      <x:c r="BH112" s="24"/>
      <x:c r="BI112" s="24"/>
    </x:row>
    <x:row r="113">
      <x:c r="A113" s="2" t="s">
        <x:v>59</x:v>
      </x:c>
      <x:c r="B113" s="3">
        <x:v>243</x:v>
      </x:c>
      <x:c r="C113" s="2" t="s">
        <x:v>494</x:v>
      </x:c>
      <x:c r="D113" s="2" t="s">
        <x:v>495</x:v>
      </x:c>
      <x:c r="E113" s="2" t="s">
        <x:v>71</x:v>
      </x:c>
      <x:c r="F113" s="2" t="s">
        <x:v>72</x:v>
      </x:c>
      <x:c r="G113" s="3">
        <x:v>101</x:v>
      </x:c>
      <x:c r="H113" s="3">
        <x:v>1</x:v>
      </x:c>
      <x:c r="I113" s="3">
        <x:v>130</x:v>
      </x:c>
      <x:c r="J113" s="4">
        <x:v>0.14138118542686251</x:v>
      </x:c>
      <x:c r="K113" s="3">
        <x:v>0</x:v>
      </x:c>
      <x:c r="L113" s="2" t="s">
        <x:v>496</x:v>
      </x:c>
      <x:c r="M113" s="3">
        <x:v>1317</x:v>
      </x:c>
      <x:c r="N113" s="3">
        <x:v>88</x:v>
      </x:c>
      <x:c r="O113" s="5">
        <x:v>127.6788421880826</x:v>
      </x:c>
      <x:c r="P113" s="5">
        <x:v>24.601536654226958</x:v>
      </x:c>
      <x:c r="Q113" s="5"/>
      <x:c r="R113" s="5">
        <x:v>77.936021265576755</x:v>
      </x:c>
      <x:c r="S113" s="5">
        <x:f t="shared" si="5"/>
        <x:v>68.096852438752506</x:v>
      </x:c>
      <x:c r="T113" s="5">
        <x:f t="shared" si="6"/>
        <x:v>68.096852438752506</x:v>
      </x:c>
      <x:c r="U113" s="5" t="e">
        <x:f>T113/[1]Model_Parameters!$B$22</x:f>
        <x:v>#NAME?</x:v>
      </x:c>
      <x:c r="V113" s="5">
        <x:v>226.54256936399599</x:v>
      </x:c>
      <x:c r="W113" s="5">
        <x:v>226.54256936399599</x:v>
      </x:c>
      <x:c r="X113" s="5">
        <x:v>93.117840064292409</x:v>
      </x:c>
      <x:c r="Y113" s="3">
        <x:v>10</x:v>
      </x:c>
      <x:c r="Z113" s="3">
        <x:v>5</x:v>
      </x:c>
      <x:c r="AA113" s="3">
        <x:v>6</x:v>
      </x:c>
      <x:c r="AB113" s="2"/>
      <x:c r="AC113" s="3"/>
      <x:c r="AD113" s="3"/>
      <x:c r="AE113" s="2" t="s">
        <x:v>136</x:v>
      </x:c>
      <x:c r="AF113" s="3">
        <x:v>10</x:v>
      </x:c>
      <x:c r="AG113" s="3">
        <x:v>0</x:v>
      </x:c>
      <x:c r="AH113" s="2" t="s">
        <x:v>497</x:v>
      </x:c>
      <x:c r="AI113" s="3">
        <x:v>89</x:v>
      </x:c>
      <x:c r="AJ113" s="3">
        <x:v>10</x:v>
      </x:c>
      <x:c r="AK113" s="2" t="s">
        <x:v>66</x:v>
      </x:c>
      <x:c r="AL113" s="3">
        <x:v>0</x:v>
      </x:c>
      <x:c r="AM113" s="2" t="s">
        <x:v>498</x:v>
      </x:c>
      <x:c r="AN113" s="3">
        <x:v>90</x:v>
      </x:c>
      <x:c r="AO113" s="3">
        <x:v>21</x:v>
      </x:c>
      <x:c r="AP113" s="3">
        <x:v>31</x:v>
      </x:c>
      <x:c r="AQ113" s="5">
        <x:v>73.129759444307965</x:v>
      </x:c>
      <x:c r="AR113" s="5">
        <x:v>68.096852438752492</x:v>
      </x:c>
      <x:c r="AS113" s="5">
        <x:f t="shared" si="7"/>
        <x:v>99.999999999999972</x:v>
      </x:c>
      <x:c r="AT113" s="5">
        <x:v>208.9421698408799</x:v>
      </x:c>
      <x:c r="AU113" s="5">
        <x:v>226.54256936399599</x:v>
      </x:c>
      <x:c r="AV113" s="5">
        <x:v>77.936021265576755</x:v>
      </x:c>
      <x:c r="AW113" s="2" t="b">
        <x:v>0</x:v>
      </x:c>
      <x:c r="AX113" s="2"/>
      <x:c r="AY113" s="2" t="s">
        <x:v>75</x:v>
      </x:c>
      <x:c r="AZ113" s="6">
        <x:v>88</x:v>
      </x:c>
      <x:c r="BA113" s="6"/>
      <x:c r="BB113" s="7"/>
      <x:c r="BC113" s="7"/>
      <x:c r="BD113" s="8"/>
      <x:c r="BE113" s="2" t="e">
        <x:f>IF(AE113="Blocked","No",IF(AJ113&lt;=[1]Model_Parameters!$B$20,"Yes","No"))</x:f>
        <x:v>#NAME?</x:v>
      </x:c>
      <x:c r="BF113" s="2" t="str">
        <x:f t="shared" si="8"/>
        <x:v>Yes</x:v>
      </x:c>
      <x:c r="BG113" s="2" t="str">
        <x:f t="shared" si="9"/>
        <x:v>Yes</x:v>
      </x:c>
      <x:c r="BH113" s="24"/>
      <x:c r="BI113" s="24"/>
    </x:row>
    <x:row r="114">
      <x:c r="A114" s="2" t="s">
        <x:v>59</x:v>
      </x:c>
      <x:c r="B114" s="3">
        <x:v>244</x:v>
      </x:c>
      <x:c r="C114" s="2" t="s">
        <x:v>499</x:v>
      </x:c>
      <x:c r="D114" s="2" t="s">
        <x:v>500</x:v>
      </x:c>
      <x:c r="E114" s="2" t="s">
        <x:v>71</x:v>
      </x:c>
      <x:c r="F114" s="2" t="s">
        <x:v>72</x:v>
      </x:c>
      <x:c r="G114" s="3">
        <x:v>102</x:v>
      </x:c>
      <x:c r="H114" s="3">
        <x:v>1</x:v>
      </x:c>
      <x:c r="I114" s="3">
        <x:v>130</x:v>
      </x:c>
      <x:c r="J114" s="4">
        <x:v>0.14138118542686251</x:v>
      </x:c>
      <x:c r="K114" s="3">
        <x:v>0</x:v>
      </x:c>
      <x:c r="L114" s="2" t="s">
        <x:v>496</x:v>
      </x:c>
      <x:c r="M114" s="3">
        <x:v>1317</x:v>
      </x:c>
      <x:c r="N114" s="3">
        <x:v>88</x:v>
      </x:c>
      <x:c r="O114" s="5">
        <x:v>114.5975600850944</x:v>
      </x:c>
      <x:c r="P114" s="5">
        <x:v>16.40978124058007</x:v>
      </x:c>
      <x:c r="Q114" s="5"/>
      <x:c r="R114" s="5">
        <x:v>71.789536227879935</x:v>
      </x:c>
      <x:c r="S114" s="5">
        <x:f t="shared" si="5"/>
        <x:v>63.463847996549021</x:v>
      </x:c>
      <x:c r="T114" s="5">
        <x:f t="shared" si="6"/>
        <x:v>63.463847996549021</x:v>
      </x:c>
      <x:c r="U114" s="5" t="e">
        <x:f>T114/[1]Model_Parameters!$B$22</x:f>
        <x:v>#NAME?</x:v>
      </x:c>
      <x:c r="V114" s="5">
        <x:v>187.63574450034591</x:v>
      </x:c>
      <x:c r="W114" s="5">
        <x:v>187.63574450034591</x:v>
      </x:c>
      <x:c r="X114" s="5">
        <x:v>92.174022188593582</x:v>
      </x:c>
      <x:c r="Y114" s="3">
        <x:v>10</x:v>
      </x:c>
      <x:c r="Z114" s="3">
        <x:v>6</x:v>
      </x:c>
      <x:c r="AA114" s="3">
        <x:v>7</x:v>
      </x:c>
      <x:c r="AB114" s="2"/>
      <x:c r="AC114" s="3"/>
      <x:c r="AD114" s="3"/>
      <x:c r="AE114" s="2" t="s">
        <x:v>136</x:v>
      </x:c>
      <x:c r="AF114" s="3">
        <x:v>5</x:v>
      </x:c>
      <x:c r="AG114" s="3">
        <x:v>0</x:v>
      </x:c>
      <x:c r="AH114" s="2" t="s">
        <x:v>501</x:v>
      </x:c>
      <x:c r="AI114" s="3">
        <x:v>89</x:v>
      </x:c>
      <x:c r="AJ114" s="3">
        <x:v>17</x:v>
      </x:c>
      <x:c r="AK114" s="2" t="s">
        <x:v>66</x:v>
      </x:c>
      <x:c r="AL114" s="3">
        <x:v>0</x:v>
      </x:c>
      <x:c r="AM114" s="2" t="s">
        <x:v>502</x:v>
      </x:c>
      <x:c r="AN114" s="3">
        <x:v>91</x:v>
      </x:c>
      <x:c r="AO114" s="3">
        <x:v>23</x:v>
      </x:c>
      <x:c r="AP114" s="3">
        <x:v>40</x:v>
      </x:c>
      <x:c r="AQ114" s="5">
        <x:v>68.85220639140401</x:v>
      </x:c>
      <x:c r="AR114" s="5">
        <x:v>63.463847996548971</x:v>
      </x:c>
      <x:c r="AS114" s="5">
        <x:f t="shared" si="7"/>
        <x:v>99.999999999999929</x:v>
      </x:c>
      <x:c r="AT114" s="5">
        <x:v>179.6144514558365</x:v>
      </x:c>
      <x:c r="AU114" s="5">
        <x:v>187.63574450034591</x:v>
      </x:c>
      <x:c r="AV114" s="5">
        <x:v>71.789536227879935</x:v>
      </x:c>
      <x:c r="AW114" s="2" t="b">
        <x:v>0</x:v>
      </x:c>
      <x:c r="AX114" s="2"/>
      <x:c r="AY114" s="2" t="s">
        <x:v>75</x:v>
      </x:c>
      <x:c r="AZ114" s="6">
        <x:v>88</x:v>
      </x:c>
      <x:c r="BA114" s="6"/>
      <x:c r="BB114" s="7"/>
      <x:c r="BC114" s="7"/>
      <x:c r="BD114" s="8"/>
      <x:c r="BE114" s="2" t="e">
        <x:f>IF(AE114="Blocked","No",IF(AJ114&lt;=[1]Model_Parameters!$B$20,"Yes","No"))</x:f>
        <x:v>#NAME?</x:v>
      </x:c>
      <x:c r="BF114" s="2" t="str">
        <x:f t="shared" si="8"/>
        <x:v>Yes</x:v>
      </x:c>
      <x:c r="BG114" s="2" t="str">
        <x:f t="shared" si="9"/>
        <x:v>No</x:v>
      </x:c>
      <x:c r="BH114" s="24"/>
      <x:c r="BI114" s="24"/>
    </x:row>
    <x:row r="115">
      <x:c r="A115" s="2" t="s">
        <x:v>59</x:v>
      </x:c>
      <x:c r="B115" s="3">
        <x:v>249</x:v>
      </x:c>
      <x:c r="C115" s="2" t="s">
        <x:v>503</x:v>
      </x:c>
      <x:c r="D115" s="2" t="s">
        <x:v>504</x:v>
      </x:c>
      <x:c r="E115" s="2" t="s">
        <x:v>71</x:v>
      </x:c>
      <x:c r="F115" s="2" t="s">
        <x:v>72</x:v>
      </x:c>
      <x:c r="G115" s="3">
        <x:v>103</x:v>
      </x:c>
      <x:c r="H115" s="3">
        <x:v>1</x:v>
      </x:c>
      <x:c r="I115" s="3">
        <x:v>130</x:v>
      </x:c>
      <x:c r="J115" s="4">
        <x:v>9.7879282218597069E-2</x:v>
      </x:c>
      <x:c r="K115" s="3">
        <x:v>0</x:v>
      </x:c>
      <x:c r="L115" s="2" t="s">
        <x:v>505</x:v>
      </x:c>
      <x:c r="M115" s="3">
        <x:v>1329</x:v>
      </x:c>
      <x:c r="N115" s="3">
        <x:v>89</x:v>
      </x:c>
      <x:c r="O115" s="5">
        <x:v>103.7474330873186</x:v>
      </x:c>
      <x:c r="P115" s="5">
        <x:v>24.699291517638532</x:v>
      </x:c>
      <x:c r="Q115" s="5"/>
      <x:c r="R115" s="5">
        <x:v>87.479912344832485</x:v>
      </x:c>
      <x:c r="S115" s="5">
        <x:f t="shared" si="5"/>
        <x:v>65.133282584496257</x:v>
      </x:c>
      <x:c r="T115" s="5">
        <x:f t="shared" si="6"/>
        <x:v>65.133282584496257</x:v>
      </x:c>
      <x:c r="U115" s="5" t="e">
        <x:f>T115/[1]Model_Parameters!$B$22</x:f>
        <x:v>#NAME?</x:v>
      </x:c>
      <x:c r="V115" s="5">
        <x:v>205.03251710388801</x:v>
      </x:c>
      <x:c r="W115" s="5">
        <x:v>205.03251710388801</x:v>
      </x:c>
      <x:c r="X115" s="5">
        <x:v>93.942739838140227</x:v>
      </x:c>
      <x:c r="Y115" s="3">
        <x:v>10</x:v>
      </x:c>
      <x:c r="Z115" s="3">
        <x:v>3</x:v>
      </x:c>
      <x:c r="AA115" s="3">
        <x:v>4</x:v>
      </x:c>
      <x:c r="AB115" s="2"/>
      <x:c r="AC115" s="3"/>
      <x:c r="AD115" s="3"/>
      <x:c r="AE115" s="2" t="s">
        <x:v>136</x:v>
      </x:c>
      <x:c r="AF115" s="3">
        <x:v>8</x:v>
      </x:c>
      <x:c r="AG115" s="3">
        <x:v>0</x:v>
      </x:c>
      <x:c r="AH115" s="2" t="s">
        <x:v>506</x:v>
      </x:c>
      <x:c r="AI115" s="3">
        <x:v>90</x:v>
      </x:c>
      <x:c r="AJ115" s="3">
        <x:v>9</x:v>
      </x:c>
      <x:c r="AK115" s="2" t="s">
        <x:v>66</x:v>
      </x:c>
      <x:c r="AL115" s="3">
        <x:v>0</x:v>
      </x:c>
      <x:c r="AM115" s="2" t="s">
        <x:v>507</x:v>
      </x:c>
      <x:c r="AN115" s="3">
        <x:v>91</x:v>
      </x:c>
      <x:c r="AO115" s="3">
        <x:v>25</x:v>
      </x:c>
      <x:c r="AP115" s="3">
        <x:v>34</x:v>
      </x:c>
      <x:c r="AQ115" s="5">
        <x:v>69.332960372156961</x:v>
      </x:c>
      <x:c r="AR115" s="5">
        <x:v>65.133282584496271</x:v>
      </x:c>
      <x:c r="AS115" s="5">
        <x:f t="shared" si="7"/>
        <x:v>100.00000000000003</x:v>
      </x:c>
      <x:c r="AT115" s="5">
        <x:v>166.39910489317671</x:v>
      </x:c>
      <x:c r="AU115" s="5">
        <x:v>205.03251710388801</x:v>
      </x:c>
      <x:c r="AV115" s="5">
        <x:v>87.479912344832485</x:v>
      </x:c>
      <x:c r="AW115" s="2" t="b">
        <x:v>0</x:v>
      </x:c>
      <x:c r="AX115" s="2"/>
      <x:c r="AY115" s="2" t="s">
        <x:v>75</x:v>
      </x:c>
      <x:c r="AZ115" s="6">
        <x:v>89</x:v>
      </x:c>
      <x:c r="BA115" s="6"/>
      <x:c r="BB115" s="7"/>
      <x:c r="BC115" s="7"/>
      <x:c r="BD115" s="8"/>
      <x:c r="BE115" s="2" t="e">
        <x:f>IF(AE115="Blocked","No",IF(AJ115&lt;=[1]Model_Parameters!$B$20,"Yes","No"))</x:f>
        <x:v>#NAME?</x:v>
      </x:c>
      <x:c r="BF115" s="2" t="str">
        <x:f t="shared" si="8"/>
        <x:v>Yes</x:v>
      </x:c>
      <x:c r="BG115" s="2" t="str">
        <x:f t="shared" si="9"/>
        <x:v>Yes</x:v>
      </x:c>
      <x:c r="BH115" s="24"/>
      <x:c r="BI115" s="24"/>
    </x:row>
    <x:row r="116">
      <x:c r="A116" s="2" t="s">
        <x:v>59</x:v>
      </x:c>
      <x:c r="B116" s="3">
        <x:v>251</x:v>
      </x:c>
      <x:c r="C116" s="2" t="s">
        <x:v>508</x:v>
      </x:c>
      <x:c r="D116" s="2" t="s">
        <x:v>509</x:v>
      </x:c>
      <x:c r="E116" s="2" t="s">
        <x:v>71</x:v>
      </x:c>
      <x:c r="F116" s="2" t="s">
        <x:v>72</x:v>
      </x:c>
      <x:c r="G116" s="3">
        <x:v>104</x:v>
      </x:c>
      <x:c r="H116" s="3">
        <x:v>1</x:v>
      </x:c>
      <x:c r="I116" s="3">
        <x:v>130</x:v>
      </x:c>
      <x:c r="J116" s="4">
        <x:v>9.7879282218597069E-2</x:v>
      </x:c>
      <x:c r="K116" s="3">
        <x:v>0</x:v>
      </x:c>
      <x:c r="L116" s="2" t="s">
        <x:v>488</x:v>
      </x:c>
      <x:c r="M116" s="3">
        <x:v>1331</x:v>
      </x:c>
      <x:c r="N116" s="3">
        <x:v>89</x:v>
      </x:c>
      <x:c r="O116" s="5">
        <x:v>67.284287399189637</x:v>
      </x:c>
      <x:c r="P116" s="5">
        <x:v>33.5948782026149</x:v>
      </x:c>
      <x:c r="Q116" s="5"/>
      <x:c r="R116" s="5">
        <x:v>82.412926519531425</x:v>
      </x:c>
      <x:c r="S116" s="5">
        <x:f t="shared" si="5"/>
        <x:v>32.846875932229374</x:v>
      </x:c>
      <x:c r="T116" s="5">
        <x:f t="shared" si="6"/>
        <x:v>32.846875932229374</x:v>
      </x:c>
      <x:c r="U116" s="5" t="e">
        <x:f>T116/[1]Model_Parameters!$B$22</x:f>
        <x:v>#NAME?</x:v>
      </x:c>
      <x:c r="V116" s="5">
        <x:v>329.72392809855842</x:v>
      </x:c>
      <x:c r="W116" s="5">
        <x:v>329.72392809855842</x:v>
      </x:c>
      <x:c r="X116" s="5">
        <x:v>94.833571582510572</x:v>
      </x:c>
      <x:c r="Y116" s="3">
        <x:v>10</x:v>
      </x:c>
      <x:c r="Z116" s="3">
        <x:v>4</x:v>
      </x:c>
      <x:c r="AA116" s="3">
        <x:v>5</x:v>
      </x:c>
      <x:c r="AB116" s="2"/>
      <x:c r="AC116" s="3"/>
      <x:c r="AD116" s="3"/>
      <x:c r="AE116" s="2" t="s">
        <x:v>136</x:v>
      </x:c>
      <x:c r="AF116" s="3">
        <x:v>4</x:v>
      </x:c>
      <x:c r="AG116" s="3">
        <x:v>0</x:v>
      </x:c>
      <x:c r="AH116" s="2" t="s">
        <x:v>510</x:v>
      </x:c>
      <x:c r="AI116" s="3">
        <x:v>90</x:v>
      </x:c>
      <x:c r="AJ116" s="3">
        <x:v>11</x:v>
      </x:c>
      <x:c r="AK116" s="2" t="s">
        <x:v>66</x:v>
      </x:c>
      <x:c r="AL116" s="3">
        <x:v>0</x:v>
      </x:c>
      <x:c r="AM116" s="2" t="s">
        <x:v>511</x:v>
      </x:c>
      <x:c r="AN116" s="3">
        <x:v>90</x:v>
      </x:c>
      <x:c r="AO116" s="3">
        <x:v>7</x:v>
      </x:c>
      <x:c r="AP116" s="3">
        <x:v>18</x:v>
      </x:c>
      <x:c r="AQ116" s="5">
        <x:v>34.636337516457161</x:v>
      </x:c>
      <x:c r="AR116" s="5">
        <x:v>32.846875932229374</x:v>
      </x:c>
      <x:c r="AS116" s="5">
        <x:f t="shared" si="7"/>
        <x:v>100</x:v>
      </x:c>
      <x:c r="AT116" s="5">
        <x:v>296.88289299820423</x:v>
      </x:c>
      <x:c r="AU116" s="5">
        <x:v>329.72392809855842</x:v>
      </x:c>
      <x:c r="AV116" s="5">
        <x:v>82.412926519531425</x:v>
      </x:c>
      <x:c r="AW116" s="2" t="b">
        <x:v>0</x:v>
      </x:c>
      <x:c r="AX116" s="2"/>
      <x:c r="AY116" s="2" t="s">
        <x:v>75</x:v>
      </x:c>
      <x:c r="AZ116" s="6">
        <x:v>89</x:v>
      </x:c>
      <x:c r="BA116" s="6"/>
      <x:c r="BB116" s="7"/>
      <x:c r="BC116" s="7"/>
      <x:c r="BD116" s="8"/>
      <x:c r="BE116" s="2" t="e">
        <x:f>IF(AE116="Blocked","No",IF(AJ116&lt;=[1]Model_Parameters!$B$20,"Yes","No"))</x:f>
        <x:v>#NAME?</x:v>
      </x:c>
      <x:c r="BF116" s="2" t="str">
        <x:f t="shared" si="8"/>
        <x:v>Yes</x:v>
      </x:c>
      <x:c r="BG116" s="2" t="str">
        <x:f t="shared" si="9"/>
        <x:v>Yes</x:v>
      </x:c>
      <x:c r="BH116" s="24"/>
      <x:c r="BI116" s="24"/>
    </x:row>
    <x:row r="117">
      <x:c r="A117" s="2" t="s">
        <x:v>59</x:v>
      </x:c>
      <x:c r="B117" s="3">
        <x:v>252</x:v>
      </x:c>
      <x:c r="C117" s="2" t="s">
        <x:v>512</x:v>
      </x:c>
      <x:c r="D117" s="2" t="s">
        <x:v>513</x:v>
      </x:c>
      <x:c r="E117" s="2" t="s">
        <x:v>71</x:v>
      </x:c>
      <x:c r="F117" s="2" t="s">
        <x:v>72</x:v>
      </x:c>
      <x:c r="G117" s="3">
        <x:v>105</x:v>
      </x:c>
      <x:c r="H117" s="3">
        <x:v>1</x:v>
      </x:c>
      <x:c r="I117" s="3">
        <x:v>130</x:v>
      </x:c>
      <x:c r="J117" s="4">
        <x:v>9.7879282218597069E-2</x:v>
      </x:c>
      <x:c r="K117" s="3">
        <x:v>0</x:v>
      </x:c>
      <x:c r="L117" s="2" t="s">
        <x:v>514</x:v>
      </x:c>
      <x:c r="M117" s="3">
        <x:v>1332</x:v>
      </x:c>
      <x:c r="N117" s="3">
        <x:v>89</x:v>
      </x:c>
      <x:c r="O117" s="5">
        <x:v>82.3398746451021</x:v>
      </x:c>
      <x:c r="P117" s="5">
        <x:v>3.2378325659991352</x:v>
      </x:c>
      <x:c r="Q117" s="5"/>
      <x:c r="R117" s="5">
        <x:v>79.181263801936183</x:v>
      </x:c>
      <x:c r="S117" s="5">
        <x:f t="shared" si="5"/>
        <x:v>62.531726080859869</x:v>
      </x:c>
      <x:c r="T117" s="5">
        <x:f t="shared" si="6"/>
        <x:v>62.531726080859869</x:v>
      </x:c>
      <x:c r="U117" s="5" t="e">
        <x:f>T117/[1]Model_Parameters!$B$22</x:f>
        <x:v>#NAME?</x:v>
      </x:c>
      <x:c r="V117" s="5">
        <x:v>253.586518536912</x:v>
      </x:c>
      <x:c r="W117" s="5">
        <x:v>253.586518536912</x:v>
      </x:c>
      <x:c r="X117" s="5">
        <x:v>91.300748013389168</x:v>
      </x:c>
      <x:c r="Y117" s="3">
        <x:v>10</x:v>
      </x:c>
      <x:c r="Z117" s="3">
        <x:v>5</x:v>
      </x:c>
      <x:c r="AA117" s="3">
        <x:v>6</x:v>
      </x:c>
      <x:c r="AB117" s="2"/>
      <x:c r="AC117" s="3"/>
      <x:c r="AD117" s="3"/>
      <x:c r="AE117" s="2" t="s">
        <x:v>136</x:v>
      </x:c>
      <x:c r="AF117" s="3">
        <x:v>4</x:v>
      </x:c>
      <x:c r="AG117" s="3">
        <x:v>0</x:v>
      </x:c>
      <x:c r="AH117" s="2" t="s">
        <x:v>511</x:v>
      </x:c>
      <x:c r="AI117" s="3">
        <x:v>90</x:v>
      </x:c>
      <x:c r="AJ117" s="3">
        <x:v>17</x:v>
      </x:c>
      <x:c r="AK117" s="2" t="s">
        <x:v>66</x:v>
      </x:c>
      <x:c r="AL117" s="3">
        <x:v>0</x:v>
      </x:c>
      <x:c r="AM117" s="2" t="s">
        <x:v>515</x:v>
      </x:c>
      <x:c r="AN117" s="3">
        <x:v>92</x:v>
      </x:c>
      <x:c r="AO117" s="3">
        <x:v>17</x:v>
      </x:c>
      <x:c r="AP117" s="3">
        <x:v>34</x:v>
      </x:c>
      <x:c r="AQ117" s="5">
        <x:v>68.48982888036106</x:v>
      </x:c>
      <x:c r="AR117" s="5">
        <x:v>62.531726080859848</x:v>
      </x:c>
      <x:c r="AS117" s="5">
        <x:f t="shared" si="7"/>
        <x:v>99.999999999999972</x:v>
      </x:c>
      <x:c r="AT117" s="5">
        <x:v>241.72880781303911</x:v>
      </x:c>
      <x:c r="AU117" s="5">
        <x:v>253.586518536912</x:v>
      </x:c>
      <x:c r="AV117" s="5">
        <x:v>79.181263801936183</x:v>
      </x:c>
      <x:c r="AW117" s="2" t="b">
        <x:v>0</x:v>
      </x:c>
      <x:c r="AX117" s="2"/>
      <x:c r="AY117" s="2" t="s">
        <x:v>75</x:v>
      </x:c>
      <x:c r="AZ117" s="6">
        <x:v>89</x:v>
      </x:c>
      <x:c r="BA117" s="6"/>
      <x:c r="BB117" s="7"/>
      <x:c r="BC117" s="7"/>
      <x:c r="BD117" s="8"/>
      <x:c r="BE117" s="2" t="e">
        <x:f>IF(AE117="Blocked","No",IF(AJ117&lt;=[1]Model_Parameters!$B$20,"Yes","No"))</x:f>
        <x:v>#NAME?</x:v>
      </x:c>
      <x:c r="BF117" s="2" t="str">
        <x:f t="shared" si="8"/>
        <x:v>Yes</x:v>
      </x:c>
      <x:c r="BG117" s="2" t="str">
        <x:f t="shared" si="9"/>
        <x:v>No</x:v>
      </x:c>
      <x:c r="BH117" s="24"/>
      <x:c r="BI117" s="24"/>
    </x:row>
    <x:row r="118">
      <x:c r="A118" s="2" t="s">
        <x:v>59</x:v>
      </x:c>
      <x:c r="B118" s="3">
        <x:v>253</x:v>
      </x:c>
      <x:c r="C118" s="2" t="s">
        <x:v>516</x:v>
      </x:c>
      <x:c r="D118" s="2" t="s">
        <x:v>517</x:v>
      </x:c>
      <x:c r="E118" s="2" t="s">
        <x:v>71</x:v>
      </x:c>
      <x:c r="F118" s="2" t="s">
        <x:v>72</x:v>
      </x:c>
      <x:c r="G118" s="3">
        <x:v>106</x:v>
      </x:c>
      <x:c r="H118" s="3">
        <x:v>1</x:v>
      </x:c>
      <x:c r="I118" s="3">
        <x:v>130</x:v>
      </x:c>
      <x:c r="J118" s="4">
        <x:v>9.7879282218597069E-2</x:v>
      </x:c>
      <x:c r="K118" s="3">
        <x:v>0</x:v>
      </x:c>
      <x:c r="L118" s="2" t="s">
        <x:v>518</x:v>
      </x:c>
      <x:c r="M118" s="3">
        <x:v>1333</x:v>
      </x:c>
      <x:c r="N118" s="3">
        <x:v>89</x:v>
      </x:c>
      <x:c r="O118" s="5">
        <x:v>104.06203617617091</x:v>
      </x:c>
      <x:c r="P118" s="5">
        <x:v>20.019599256141689</x:v>
      </x:c>
      <x:c r="Q118" s="5"/>
      <x:c r="R118" s="5">
        <x:v>74.619135274850635</x:v>
      </x:c>
      <x:c r="S118" s="5">
        <x:f t="shared" si="5"/>
        <x:v>56.81738892381037</x:v>
      </x:c>
      <x:c r="T118" s="5">
        <x:f t="shared" si="6"/>
        <x:v>56.81738892381037</x:v>
      </x:c>
      <x:c r="U118" s="5" t="e">
        <x:f>T118/[1]Model_Parameters!$B$22</x:f>
        <x:v>#NAME?</x:v>
      </x:c>
      <x:c r="V118" s="5">
        <x:v>207.7966286646043</x:v>
      </x:c>
      <x:c r="W118" s="5">
        <x:v>207.7966286646043</x:v>
      </x:c>
      <x:c r="X118" s="5">
        <x:v>92.261273162254341</x:v>
      </x:c>
      <x:c r="Y118" s="3">
        <x:v>10</x:v>
      </x:c>
      <x:c r="Z118" s="3">
        <x:v>5</x:v>
      </x:c>
      <x:c r="AA118" s="3">
        <x:v>6</x:v>
      </x:c>
      <x:c r="AB118" s="2"/>
      <x:c r="AC118" s="3"/>
      <x:c r="AD118" s="3"/>
      <x:c r="AE118" s="2" t="s">
        <x:v>136</x:v>
      </x:c>
      <x:c r="AF118" s="3">
        <x:v>3</x:v>
      </x:c>
      <x:c r="AG118" s="3">
        <x:v>0</x:v>
      </x:c>
      <x:c r="AH118" s="2" t="s">
        <x:v>493</x:v>
      </x:c>
      <x:c r="AI118" s="3">
        <x:v>91</x:v>
      </x:c>
      <x:c r="AJ118" s="3">
        <x:v>19</x:v>
      </x:c>
      <x:c r="AK118" s="2" t="s">
        <x:v>66</x:v>
      </x:c>
      <x:c r="AL118" s="3">
        <x:v>0</x:v>
      </x:c>
      <x:c r="AM118" s="2" t="s">
        <x:v>519</x:v>
      </x:c>
      <x:c r="AN118" s="3">
        <x:v>92</x:v>
      </x:c>
      <x:c r="AO118" s="3">
        <x:v>19</x:v>
      </x:c>
      <x:c r="AP118" s="3">
        <x:v>38</x:v>
      </x:c>
      <x:c r="AQ118" s="5">
        <x:v>61.583139898675597</x:v>
      </x:c>
      <x:c r="AR118" s="5">
        <x:v>56.817388923810341</x:v>
      </x:c>
      <x:c r="AS118" s="5">
        <x:f t="shared" si="7"/>
        <x:v>99.999999999999943</x:v>
      </x:c>
      <x:c r="AT118" s="5">
        <x:v>194.4730733642387</x:v>
      </x:c>
      <x:c r="AU118" s="5">
        <x:v>207.7966286646043</x:v>
      </x:c>
      <x:c r="AV118" s="5">
        <x:v>74.619135274850635</x:v>
      </x:c>
      <x:c r="AW118" s="2" t="b">
        <x:v>0</x:v>
      </x:c>
      <x:c r="AX118" s="2"/>
      <x:c r="AY118" s="2" t="s">
        <x:v>75</x:v>
      </x:c>
      <x:c r="AZ118" s="6">
        <x:v>89</x:v>
      </x:c>
      <x:c r="BA118" s="6"/>
      <x:c r="BB118" s="7"/>
      <x:c r="BC118" s="7"/>
      <x:c r="BD118" s="8"/>
      <x:c r="BE118" s="2" t="e">
        <x:f>IF(AE118="Blocked","No",IF(AJ118&lt;=[1]Model_Parameters!$B$20,"Yes","No"))</x:f>
        <x:v>#NAME?</x:v>
      </x:c>
      <x:c r="BF118" s="2" t="str">
        <x:f t="shared" si="8"/>
        <x:v>Yes</x:v>
      </x:c>
      <x:c r="BG118" s="2" t="str">
        <x:f t="shared" si="9"/>
        <x:v>No</x:v>
      </x:c>
      <x:c r="BH118" s="24"/>
      <x:c r="BI118" s="24"/>
    </x:row>
    <x:row r="119">
      <x:c r="A119" s="2" t="s">
        <x:v>59</x:v>
      </x:c>
      <x:c r="B119" s="3">
        <x:v>254</x:v>
      </x:c>
      <x:c r="C119" s="2" t="s">
        <x:v>520</x:v>
      </x:c>
      <x:c r="D119" s="2" t="s">
        <x:v>521</x:v>
      </x:c>
      <x:c r="E119" s="2" t="s">
        <x:v>62</x:v>
      </x:c>
      <x:c r="F119" s="2" t="s">
        <x:v>63</x:v>
      </x:c>
      <x:c r="G119" s="3">
        <x:v>12</x:v>
      </x:c>
      <x:c r="H119" s="3">
        <x:v>1</x:v>
      </x:c>
      <x:c r="I119" s="3">
        <x:v>20</x:v>
      </x:c>
      <x:c r="J119" s="4">
        <x:v>6.1728395061728412E-2</x:v>
      </x:c>
      <x:c r="K119" s="3">
        <x:v>0</x:v>
      </x:c>
      <x:c r="L119" s="2" t="s">
        <x:v>522</x:v>
      </x:c>
      <x:c r="M119" s="3">
        <x:v>1337</x:v>
      </x:c>
      <x:c r="N119" s="3">
        <x:v>90</x:v>
      </x:c>
      <x:c r="O119" s="5">
        <x:v>92.230332138813836</x:v>
      </x:c>
      <x:c r="P119" s="5">
        <x:v>15.34376092395291</x:v>
      </x:c>
      <x:c r="Q119" s="5"/>
      <x:c r="R119" s="5">
        <x:v>87.267985420988623</x:v>
      </x:c>
      <x:c r="S119" s="5">
        <x:f t="shared" si="5"/>
        <x:v>66.335951141882148</x:v>
      </x:c>
      <x:c r="T119" s="5">
        <x:f t="shared" si="6"/>
        <x:v>66.335951141882148</x:v>
      </x:c>
      <x:c r="U119" s="5" t="e">
        <x:f>T119/[1]Model_Parameters!$B$22</x:f>
        <x:v>#NAME?</x:v>
      </x:c>
      <x:c r="V119" s="5">
        <x:v>201.86467311614709</x:v>
      </x:c>
      <x:c r="W119" s="5">
        <x:v>201.86467311614709</x:v>
      </x:c>
      <x:c r="X119" s="5">
        <x:v>90.484628057482695</x:v>
      </x:c>
      <x:c r="Y119" s="3">
        <x:v>10</x:v>
      </x:c>
      <x:c r="Z119" s="3">
        <x:v>4</x:v>
      </x:c>
      <x:c r="AA119" s="3">
        <x:v>5</x:v>
      </x:c>
      <x:c r="AB119" s="2"/>
      <x:c r="AC119" s="3"/>
      <x:c r="AD119" s="3"/>
      <x:c r="AE119" s="2" t="s">
        <x:v>136</x:v>
      </x:c>
      <x:c r="AF119" s="3">
        <x:v>2</x:v>
      </x:c>
      <x:c r="AG119" s="3">
        <x:v>0</x:v>
      </x:c>
      <x:c r="AH119" s="2" t="s">
        <x:v>523</x:v>
      </x:c>
      <x:c r="AI119" s="3">
        <x:v>91</x:v>
      </x:c>
      <x:c r="AJ119" s="3">
        <x:v>17</x:v>
      </x:c>
      <x:c r="AK119" s="2" t="s">
        <x:v>66</x:v>
      </x:c>
      <x:c r="AL119" s="3">
        <x:v>0</x:v>
      </x:c>
      <x:c r="AM119" s="2" t="s">
        <x:v>524</x:v>
      </x:c>
      <x:c r="AN119" s="3">
        <x:v>93</x:v>
      </x:c>
      <x:c r="AO119" s="3">
        <x:v>26</x:v>
      </x:c>
      <x:c r="AP119" s="3">
        <x:v>43</x:v>
      </x:c>
      <x:c r="AQ119" s="5">
        <x:v>73.311845963206622</x:v>
      </x:c>
      <x:c r="AR119" s="5">
        <x:v>66.335951141882148</x:v>
      </x:c>
      <x:c r="AS119" s="5">
        <x:f t="shared" si="7"/>
        <x:v>100</x:v>
      </x:c>
      <x:c r="AT119" s="5">
        <x:v>169.18118299201529</x:v>
      </x:c>
      <x:c r="AU119" s="5">
        <x:v>201.86467311614709</x:v>
      </x:c>
      <x:c r="AV119" s="5">
        <x:v>87.267985420988623</x:v>
      </x:c>
      <x:c r="AW119" s="2" t="b">
        <x:v>0</x:v>
      </x:c>
      <x:c r="AX119" s="2"/>
      <x:c r="AY119" s="2" t="s">
        <x:v>68</x:v>
      </x:c>
      <x:c r="AZ119" s="6">
        <x:v>90</x:v>
      </x:c>
      <x:c r="BA119" s="6"/>
      <x:c r="BB119" s="7"/>
      <x:c r="BC119" s="7"/>
      <x:c r="BD119" s="8"/>
      <x:c r="BE119" s="2" t="e">
        <x:f>IF(AE119="Blocked","No",IF(AJ119&lt;=[1]Model_Parameters!$B$20,"Yes","No"))</x:f>
        <x:v>#NAME?</x:v>
      </x:c>
      <x:c r="BF119" s="2" t="str">
        <x:f t="shared" si="8"/>
        <x:v>Yes</x:v>
      </x:c>
      <x:c r="BG119" s="2" t="str">
        <x:f t="shared" si="9"/>
        <x:v>No</x:v>
      </x:c>
      <x:c r="BH119" s="24"/>
      <x:c r="BI119" s="24"/>
    </x:row>
    <x:row r="120">
      <x:c r="A120" s="2" t="s">
        <x:v>59</x:v>
      </x:c>
      <x:c r="B120" s="3">
        <x:v>256</x:v>
      </x:c>
      <x:c r="C120" s="2" t="s">
        <x:v>525</x:v>
      </x:c>
      <x:c r="D120" s="2" t="s">
        <x:v>526</x:v>
      </x:c>
      <x:c r="E120" s="2" t="s">
        <x:v>71</x:v>
      </x:c>
      <x:c r="F120" s="2" t="s">
        <x:v>72</x:v>
      </x:c>
      <x:c r="G120" s="3">
        <x:v>107</x:v>
      </x:c>
      <x:c r="H120" s="3">
        <x:v>1</x:v>
      </x:c>
      <x:c r="I120" s="3">
        <x:v>130</x:v>
      </x:c>
      <x:c r="J120" s="4">
        <x:v>9.7879282218597069E-2</x:v>
      </x:c>
      <x:c r="K120" s="3">
        <x:v>0</x:v>
      </x:c>
      <x:c r="L120" s="2" t="s">
        <x:v>527</x:v>
      </x:c>
      <x:c r="M120" s="3">
        <x:v>1341</x:v>
      </x:c>
      <x:c r="N120" s="3">
        <x:v>90</x:v>
      </x:c>
      <x:c r="O120" s="5">
        <x:v>133.49939336319159</x:v>
      </x:c>
      <x:c r="P120" s="5">
        <x:v>30.440666649914231</x:v>
      </x:c>
      <x:c r="Q120" s="5"/>
      <x:c r="R120" s="5">
        <x:v>72.258034955723431</x:v>
      </x:c>
      <x:c r="S120" s="5">
        <x:f t="shared" si="5"/>
        <x:v>55.825933008706826</x:v>
      </x:c>
      <x:c r="T120" s="5">
        <x:f t="shared" si="6"/>
        <x:v>55.825933008706826</x:v>
      </x:c>
      <x:c r="U120" s="5" t="e">
        <x:f>T120/[1]Model_Parameters!$B$22</x:f>
        <x:v>#NAME?</x:v>
      </x:c>
      <x:c r="V120" s="5">
        <x:v>314.05499931513879</x:v>
      </x:c>
      <x:c r="W120" s="5">
        <x:v>314.05499931513879</x:v>
      </x:c>
      <x:c r="X120" s="5">
        <x:v>91.27189721822073</x:v>
      </x:c>
      <x:c r="Y120" s="3">
        <x:v>10</x:v>
      </x:c>
      <x:c r="Z120" s="3">
        <x:v>5</x:v>
      </x:c>
      <x:c r="AA120" s="3">
        <x:v>6</x:v>
      </x:c>
      <x:c r="AB120" s="2"/>
      <x:c r="AC120" s="3"/>
      <x:c r="AD120" s="3"/>
      <x:c r="AE120" s="2" t="s">
        <x:v>136</x:v>
      </x:c>
      <x:c r="AF120" s="3">
        <x:v>10</x:v>
      </x:c>
      <x:c r="AG120" s="3">
        <x:v>0</x:v>
      </x:c>
      <x:c r="AH120" s="2" t="s">
        <x:v>528</x:v>
      </x:c>
      <x:c r="AI120" s="3">
        <x:v>91</x:v>
      </x:c>
      <x:c r="AJ120" s="3">
        <x:v>15</x:v>
      </x:c>
      <x:c r="AK120" s="2" t="s">
        <x:v>66</x:v>
      </x:c>
      <x:c r="AL120" s="3">
        <x:v>0</x:v>
      </x:c>
      <x:c r="AM120" s="2" t="s">
        <x:v>529</x:v>
      </x:c>
      <x:c r="AN120" s="3">
        <x:v>92</x:v>
      </x:c>
      <x:c r="AO120" s="3">
        <x:v>12</x:v>
      </x:c>
      <x:c r="AP120" s="3">
        <x:v>27</x:v>
      </x:c>
      <x:c r="AQ120" s="5">
        <x:v>61.164427069192371</x:v>
      </x:c>
      <x:c r="AR120" s="5">
        <x:v>55.825933008706848</x:v>
      </x:c>
      <x:c r="AS120" s="5">
        <x:f t="shared" si="7"/>
        <x:v>100.00000000000004</x:v>
      </x:c>
      <x:c r="AT120" s="5">
        <x:v>305.82213534596178</x:v>
      </x:c>
      <x:c r="AU120" s="5">
        <x:v>314.05499931513879</x:v>
      </x:c>
      <x:c r="AV120" s="5">
        <x:v>72.258034955723431</x:v>
      </x:c>
      <x:c r="AW120" s="2" t="b">
        <x:v>0</x:v>
      </x:c>
      <x:c r="AX120" s="2"/>
      <x:c r="AY120" s="2" t="s">
        <x:v>75</x:v>
      </x:c>
      <x:c r="AZ120" s="6">
        <x:v>90</x:v>
      </x:c>
      <x:c r="BA120" s="6"/>
      <x:c r="BB120" s="7"/>
      <x:c r="BC120" s="7"/>
      <x:c r="BD120" s="8"/>
      <x:c r="BE120" s="2" t="e">
        <x:f>IF(AE120="Blocked","No",IF(AJ120&lt;=[1]Model_Parameters!$B$20,"Yes","No"))</x:f>
        <x:v>#NAME?</x:v>
      </x:c>
      <x:c r="BF120" s="2" t="str">
        <x:f t="shared" si="8"/>
        <x:v>Yes</x:v>
      </x:c>
      <x:c r="BG120" s="2" t="str">
        <x:f t="shared" si="9"/>
        <x:v>Yes</x:v>
      </x:c>
      <x:c r="BH120" s="24"/>
      <x:c r="BI120" s="24"/>
    </x:row>
    <x:row r="121">
      <x:c r="A121" s="2" t="s">
        <x:v>59</x:v>
      </x:c>
      <x:c r="B121" s="3">
        <x:v>257</x:v>
      </x:c>
      <x:c r="C121" s="2" t="s">
        <x:v>530</x:v>
      </x:c>
      <x:c r="D121" s="2" t="s">
        <x:v>531</x:v>
      </x:c>
      <x:c r="E121" s="2" t="s">
        <x:v>71</x:v>
      </x:c>
      <x:c r="F121" s="2" t="s">
        <x:v>72</x:v>
      </x:c>
      <x:c r="G121" s="3">
        <x:v>108</x:v>
      </x:c>
      <x:c r="H121" s="3">
        <x:v>1</x:v>
      </x:c>
      <x:c r="I121" s="3">
        <x:v>130</x:v>
      </x:c>
      <x:c r="J121" s="4">
        <x:v>9.7879282218597069E-2</x:v>
      </x:c>
      <x:c r="K121" s="3">
        <x:v>0</x:v>
      </x:c>
      <x:c r="L121" s="2" t="s">
        <x:v>510</x:v>
      </x:c>
      <x:c r="M121" s="3">
        <x:v>1342</x:v>
      </x:c>
      <x:c r="N121" s="3">
        <x:v>90</x:v>
      </x:c>
      <x:c r="O121" s="5">
        <x:v>65.286692731328372</x:v>
      </x:c>
      <x:c r="P121" s="5">
        <x:v>23.30779840870786</x:v>
      </x:c>
      <x:c r="Q121" s="5"/>
      <x:c r="R121" s="5">
        <x:v>86.149909198702147</x:v>
      </x:c>
      <x:c r="S121" s="5" t="n">
        <x:f t="shared" si="5">O121*(R121-P121)/100</x:f>
        <x:v>41.02753577734452</x:v>
      </x:c>
      <x:c r="T121" s="5" t="n">
        <x:f t="shared" si="6">O121*(R121-IF(Q121="",P121,Q121))/100</x:f>
        <x:v>41.02753577734452</x:v>
      </x:c>
      <x:c r="U121" s="5" t="e">
        <x:f>T121/[1]Model_Parameters!$B$22</x:f>
        <x:v>#NAME?</x:v>
      </x:c>
      <x:c r="V121" s="5">
        <x:v>389.98196473343899</x:v>
      </x:c>
      <x:c r="W121" s="5">
        <x:v>389.98196473343899</x:v>
      </x:c>
      <x:c r="X121" s="5">
        <x:v>90.828763882303392</x:v>
      </x:c>
      <x:c r="Y121" s="3">
        <x:v>10</x:v>
      </x:c>
      <x:c r="Z121" s="3">
        <x:v>4</x:v>
      </x:c>
      <x:c r="AA121" s="3">
        <x:v>5</x:v>
      </x:c>
      <x:c r="AB121" s="2"/>
      <x:c r="AC121" s="3"/>
      <x:c r="AD121" s="3"/>
      <x:c r="AE121" s="2" t="s">
        <x:v>136</x:v>
      </x:c>
      <x:c r="AF121" s="3">
        <x:v>5</x:v>
      </x:c>
      <x:c r="AG121" s="3">
        <x:v>0</x:v>
      </x:c>
      <x:c r="AH121" s="2" t="s">
        <x:v>502</x:v>
      </x:c>
      <x:c r="AI121" s="3">
        <x:v>91</x:v>
      </x:c>
      <x:c r="AJ121" s="3">
        <x:v>15</x:v>
      </x:c>
      <x:c r="AK121" s="2" t="s">
        <x:v>66</x:v>
      </x:c>
      <x:c r="AL121" s="3">
        <x:v>0</x:v>
      </x:c>
      <x:c r="AM121" s="2" t="s">
        <x:v>532</x:v>
      </x:c>
      <x:c r="AN121" s="3">
        <x:v>92</x:v>
      </x:c>
      <x:c r="AO121" s="3">
        <x:v>8</x:v>
      </x:c>
      <x:c r="AP121" s="3">
        <x:v>23</x:v>
      </x:c>
      <x:c r="AQ121" s="5">
        <x:v>45.170201623032447</x:v>
      </x:c>
      <x:c r="AR121" s="5">
        <x:v>41.027535777344532</x:v>
      </x:c>
      <x:c r="AS121" s="5" t="n">
        <x:f t="shared" si="7">IF(S121=0,100,IFERROR(AR121/S121*100,0))</x:f>
        <x:v>100.00000000000004</x:v>
      </x:c>
      <x:c r="AT121" s="5">
        <x:v>338.77651217274342</x:v>
      </x:c>
      <x:c r="AU121" s="5">
        <x:v>389.98196473343899</x:v>
      </x:c>
      <x:c r="AV121" s="5">
        <x:v>86.149909198702147</x:v>
      </x:c>
      <x:c r="AW121" s="2" t="b">
        <x:v>0</x:v>
      </x:c>
      <x:c r="AX121" s="2"/>
      <x:c r="AY121" s="2" t="s">
        <x:v>75</x:v>
      </x:c>
      <x:c r="AZ121" s="6">
        <x:v>90</x:v>
      </x:c>
      <x:c r="BA121" s="6"/>
      <x:c r="BB121" s="7"/>
      <x:c r="BC121" s="7"/>
      <x:c r="BD121" s="8"/>
      <x:c r="BE121" s="2" t="e">
        <x:f>IF(AE121="Blocked","No",IF(AJ121&lt;=[1]Model_Parameters!$B$20,"Yes","No"))</x:f>
        <x:v>#NAME?</x:v>
      </x:c>
      <x:c r="BF121" s="2" t="str">
        <x:f t="shared" si="8">IF(AK121="Completed","Yes","No")</x:f>
        <x:v>Yes</x:v>
      </x:c>
      <x:c r="BG121" s="2" t="e">
        <x:f t="shared" si="9">IF(AND(BE121="Yes",BF121="Yes"),"Yes","No")</x:f>
        <x:v>#NAME?</x:v>
      </x:c>
      <x:c r="BH121" s="24"/>
      <x:c r="BI121" s="24"/>
    </x:row>
    <x:row r="122">
      <x:c r="A122" s="2" t="s">
        <x:v>59</x:v>
      </x:c>
      <x:c r="B122" s="3">
        <x:v>260</x:v>
      </x:c>
      <x:c r="C122" s="2" t="s">
        <x:v>533</x:v>
      </x:c>
      <x:c r="D122" s="2" t="s">
        <x:v>534</x:v>
      </x:c>
      <x:c r="E122" s="2" t="s">
        <x:v>71</x:v>
      </x:c>
      <x:c r="F122" s="2" t="s">
        <x:v>72</x:v>
      </x:c>
      <x:c r="G122" s="3">
        <x:v>109</x:v>
      </x:c>
      <x:c r="H122" s="3">
        <x:v>1</x:v>
      </x:c>
      <x:c r="I122" s="3">
        <x:v>130</x:v>
      </x:c>
      <x:c r="J122" s="4">
        <x:v>9.7879282218597069E-2</x:v>
      </x:c>
      <x:c r="K122" s="3">
        <x:v>0</x:v>
      </x:c>
      <x:c r="L122" s="2" t="s">
        <x:v>535</x:v>
      </x:c>
      <x:c r="M122" s="3">
        <x:v>1344</x:v>
      </x:c>
      <x:c r="N122" s="3">
        <x:v>90</x:v>
      </x:c>
      <x:c r="O122" s="5">
        <x:v>104.2480753777625</x:v>
      </x:c>
      <x:c r="P122" s="5">
        <x:v>33.10888927158598</x:v>
      </x:c>
      <x:c r="Q122" s="5"/>
      <x:c r="R122" s="5">
        <x:v>82.805056432265559</x:v>
      </x:c>
      <x:c r="S122" s="5">
        <x:f t="shared" si="5"/>
        <x:v>51.807297801524101</x:v>
      </x:c>
      <x:c r="T122" s="5">
        <x:f t="shared" si="6"/>
        <x:v>51.807297801524101</x:v>
      </x:c>
      <x:c r="U122" s="5" t="e">
        <x:f>T122/[1]Model_Parameters!$B$22</x:f>
        <x:v>#NAME?</x:v>
      </x:c>
      <x:c r="V122" s="5">
        <x:v>165.23499467785859</x:v>
      </x:c>
      <x:c r="W122" s="5">
        <x:v>165.23499467785859</x:v>
      </x:c>
      <x:c r="X122" s="5">
        <x:v>92.220260062711702</x:v>
      </x:c>
      <x:c r="Y122" s="3">
        <x:v>10</x:v>
      </x:c>
      <x:c r="Z122" s="3">
        <x:v>7</x:v>
      </x:c>
      <x:c r="AA122" s="3">
        <x:v>8</x:v>
      </x:c>
      <x:c r="AB122" s="2"/>
      <x:c r="AC122" s="3"/>
      <x:c r="AD122" s="3"/>
      <x:c r="AE122" s="2" t="s">
        <x:v>136</x:v>
      </x:c>
      <x:c r="AF122" s="3">
        <x:v>7</x:v>
      </x:c>
      <x:c r="AG122" s="3">
        <x:v>0</x:v>
      </x:c>
      <x:c r="AH122" s="2" t="s">
        <x:v>484</x:v>
      </x:c>
      <x:c r="AI122" s="3">
        <x:v>91</x:v>
      </x:c>
      <x:c r="AJ122" s="3">
        <x:v>15</x:v>
      </x:c>
      <x:c r="AK122" s="2" t="s">
        <x:v>66</x:v>
      </x:c>
      <x:c r="AL122" s="3">
        <x:v>0</x:v>
      </x:c>
      <x:c r="AM122" s="2" t="s">
        <x:v>536</x:v>
      </x:c>
      <x:c r="AN122" s="3">
        <x:v>93</x:v>
      </x:c>
      <x:c r="AO122" s="3">
        <x:v>24</x:v>
      </x:c>
      <x:c r="AP122" s="3">
        <x:v>39</x:v>
      </x:c>
      <x:c r="AQ122" s="5">
        <x:v>56.177783240140528</x:v>
      </x:c>
      <x:c r="AR122" s="5">
        <x:v>51.807297801524037</x:v>
      </x:c>
      <x:c r="AS122" s="5">
        <x:f t="shared" si="7"/>
        <x:v>99.999999999999872</x:v>
      </x:c>
      <x:c r="AT122" s="5">
        <x:v>140.44445810035131</x:v>
      </x:c>
      <x:c r="AU122" s="5">
        <x:v>165.23499467785859</x:v>
      </x:c>
      <x:c r="AV122" s="5">
        <x:v>82.805056432265559</x:v>
      </x:c>
      <x:c r="AW122" s="2" t="b">
        <x:v>0</x:v>
      </x:c>
      <x:c r="AX122" s="2"/>
      <x:c r="AY122" s="2" t="s">
        <x:v>75</x:v>
      </x:c>
      <x:c r="AZ122" s="6">
        <x:v>90</x:v>
      </x:c>
      <x:c r="BA122" s="6"/>
      <x:c r="BB122" s="7"/>
      <x:c r="BC122" s="7"/>
      <x:c r="BD122" s="8"/>
      <x:c r="BE122" s="2" t="e">
        <x:f>IF(AE122="Blocked","No",IF(AJ122&lt;=[1]Model_Parameters!$B$20,"Yes","No"))</x:f>
        <x:v>#NAME?</x:v>
      </x:c>
      <x:c r="BF122" s="2" t="str">
        <x:f t="shared" si="8"/>
        <x:v>Yes</x:v>
      </x:c>
      <x:c r="BG122" s="2" t="str">
        <x:f t="shared" si="9"/>
        <x:v>Yes</x:v>
      </x:c>
      <x:c r="BH122" s="24"/>
      <x:c r="BI122" s="24"/>
    </x:row>
    <x:row r="123">
      <x:c r="A123" s="2" t="s">
        <x:v>59</x:v>
      </x:c>
      <x:c r="B123" s="3">
        <x:v>263</x:v>
      </x:c>
      <x:c r="C123" s="2" t="s">
        <x:v>537</x:v>
      </x:c>
      <x:c r="D123" s="2" t="s">
        <x:v>538</x:v>
      </x:c>
      <x:c r="E123" s="2" t="s">
        <x:v>71</x:v>
      </x:c>
      <x:c r="F123" s="2" t="s">
        <x:v>72</x:v>
      </x:c>
      <x:c r="G123" s="3">
        <x:v>110</x:v>
      </x:c>
      <x:c r="H123" s="3">
        <x:v>1</x:v>
      </x:c>
      <x:c r="I123" s="3">
        <x:v>130</x:v>
      </x:c>
      <x:c r="J123" s="4">
        <x:v>9.7879282218597069E-2</x:v>
      </x:c>
      <x:c r="K123" s="3">
        <x:v>0</x:v>
      </x:c>
      <x:c r="L123" s="2" t="s">
        <x:v>539</x:v>
      </x:c>
      <x:c r="M123" s="3">
        <x:v>1347</x:v>
      </x:c>
      <x:c r="N123" s="3">
        <x:v>90</x:v>
      </x:c>
      <x:c r="O123" s="5">
        <x:v>63.786470865446198</x:v>
      </x:c>
      <x:c r="P123" s="5">
        <x:v>3</x:v>
      </x:c>
      <x:c r="Q123" s="5"/>
      <x:c r="R123" s="5">
        <x:v>73.222981900769483</x:v>
      </x:c>
      <x:c r="S123" s="5">
        <x:f t="shared" si="5"/>
        <x:v>44.792761890981886</x:v>
      </x:c>
      <x:c r="T123" s="5">
        <x:f t="shared" si="6"/>
        <x:v>44.792761890981886</x:v>
      </x:c>
      <x:c r="U123" s="5" t="e">
        <x:f>T123/[1]Model_Parameters!$B$22</x:f>
        <x:v>#NAME?</x:v>
      </x:c>
      <x:c r="V123" s="5">
        <x:v>352.07085148804282</x:v>
      </x:c>
      <x:c r="W123" s="5">
        <x:v>352.07085148804282</x:v>
      </x:c>
      <x:c r="X123" s="5">
        <x:v>92.406630687016417</x:v>
      </x:c>
      <x:c r="Y123" s="3">
        <x:v>10</x:v>
      </x:c>
      <x:c r="Z123" s="3">
        <x:v>8</x:v>
      </x:c>
      <x:c r="AA123" s="3">
        <x:v>9</x:v>
      </x:c>
      <x:c r="AB123" s="2"/>
      <x:c r="AC123" s="3"/>
      <x:c r="AD123" s="3"/>
      <x:c r="AE123" s="2" t="s">
        <x:v>136</x:v>
      </x:c>
      <x:c r="AF123" s="3">
        <x:v>8</x:v>
      </x:c>
      <x:c r="AG123" s="3">
        <x:v>0</x:v>
      </x:c>
      <x:c r="AH123" s="2" t="s">
        <x:v>507</x:v>
      </x:c>
      <x:c r="AI123" s="3">
        <x:v>91</x:v>
      </x:c>
      <x:c r="AJ123" s="3">
        <x:v>16</x:v>
      </x:c>
      <x:c r="AK123" s="2" t="s">
        <x:v>66</x:v>
      </x:c>
      <x:c r="AL123" s="3">
        <x:v>0</x:v>
      </x:c>
      <x:c r="AM123" s="2" t="s">
        <x:v>540</x:v>
      </x:c>
      <x:c r="AN123" s="3">
        <x:v>92</x:v>
      </x:c>
      <x:c r="AO123" s="3">
        <x:v>9</x:v>
      </x:c>
      <x:c r="AP123" s="3">
        <x:v>25</x:v>
      </x:c>
      <x:c r="AQ123" s="5">
        <x:v>48.473536539489352</x:v>
      </x:c>
      <x:c r="AR123" s="5">
        <x:v>44.792761890981893</x:v>
      </x:c>
      <x:c r="AS123" s="5">
        <x:f t="shared" si="7"/>
        <x:v>100.00000000000003</x:v>
      </x:c>
      <x:c r="AT123" s="5">
        <x:v>323.15691026326238</x:v>
      </x:c>
      <x:c r="AU123" s="5">
        <x:v>352.07085148804282</x:v>
      </x:c>
      <x:c r="AV123" s="5">
        <x:v>73.222981900769483</x:v>
      </x:c>
      <x:c r="AW123" s="2" t="b">
        <x:v>0</x:v>
      </x:c>
      <x:c r="AX123" s="2"/>
      <x:c r="AY123" s="2" t="s">
        <x:v>75</x:v>
      </x:c>
      <x:c r="AZ123" s="6">
        <x:v>90</x:v>
      </x:c>
      <x:c r="BA123" s="6"/>
      <x:c r="BB123" s="7"/>
      <x:c r="BC123" s="7"/>
      <x:c r="BD123" s="8"/>
      <x:c r="BE123" s="2" t="e">
        <x:f>IF(AE123="Blocked","No",IF(AJ123&lt;=[1]Model_Parameters!$B$20,"Yes","No"))</x:f>
        <x:v>#NAME?</x:v>
      </x:c>
      <x:c r="BF123" s="2" t="str">
        <x:f t="shared" si="8"/>
        <x:v>Yes</x:v>
      </x:c>
      <x:c r="BG123" s="2" t="str">
        <x:f t="shared" si="9"/>
        <x:v>No</x:v>
      </x:c>
      <x:c r="BH123" s="24"/>
      <x:c r="BI123" s="24"/>
    </x:row>
    <x:row r="124">
      <x:c r="A124" s="2" t="s">
        <x:v>59</x:v>
      </x:c>
      <x:c r="B124" s="3">
        <x:v>264</x:v>
      </x:c>
      <x:c r="C124" s="2" t="s">
        <x:v>541</x:v>
      </x:c>
      <x:c r="D124" s="2" t="s">
        <x:v>542</x:v>
      </x:c>
      <x:c r="E124" s="2" t="s">
        <x:v>71</x:v>
      </x:c>
      <x:c r="F124" s="2" t="s">
        <x:v>72</x:v>
      </x:c>
      <x:c r="G124" s="3">
        <x:v>111</x:v>
      </x:c>
      <x:c r="H124" s="3">
        <x:v>1</x:v>
      </x:c>
      <x:c r="I124" s="3">
        <x:v>130</x:v>
      </x:c>
      <x:c r="J124" s="4">
        <x:v>9.7879282218597069E-2</x:v>
      </x:c>
      <x:c r="K124" s="3">
        <x:v>0</x:v>
      </x:c>
      <x:c r="L124" s="2" t="s">
        <x:v>493</x:v>
      </x:c>
      <x:c r="M124" s="3">
        <x:v>1352</x:v>
      </x:c>
      <x:c r="N124" s="3">
        <x:v>91</x:v>
      </x:c>
      <x:c r="O124" s="5">
        <x:v>124.72975530415771</x:v>
      </x:c>
      <x:c r="P124" s="5">
        <x:v>25.049960684313099</x:v>
      </x:c>
      <x:c r="Q124" s="5"/>
      <x:c r="R124" s="5">
        <x:v>51.870256351000933</x:v>
      </x:c>
      <x:c r="S124" s="5">
        <x:f t="shared" si="5"/>
        <x:v>33.452889156911347</x:v>
      </x:c>
      <x:c r="T124" s="5">
        <x:f t="shared" si="6"/>
        <x:v>33.452889156911347</x:v>
      </x:c>
      <x:c r="U124" s="5" t="e">
        <x:f>T124/[1]Model_Parameters!$B$22</x:f>
        <x:v>#NAME?</x:v>
      </x:c>
      <x:c r="V124" s="5">
        <x:v>400.58047305017482</x:v>
      </x:c>
      <x:c r="W124" s="5">
        <x:v>400.58047305017482</x:v>
      </x:c>
      <x:c r="X124" s="5">
        <x:v>94.625727088414351</x:v>
      </x:c>
      <x:c r="Y124" s="3">
        <x:v>10</x:v>
      </x:c>
      <x:c r="Z124" s="3">
        <x:v>6</x:v>
      </x:c>
      <x:c r="AA124" s="3">
        <x:v>7</x:v>
      </x:c>
      <x:c r="AB124" s="2"/>
      <x:c r="AC124" s="3"/>
      <x:c r="AD124" s="3"/>
      <x:c r="AE124" s="2" t="s">
        <x:v>136</x:v>
      </x:c>
      <x:c r="AF124" s="3">
        <x:v>1</x:v>
      </x:c>
      <x:c r="AG124" s="3">
        <x:v>0</x:v>
      </x:c>
      <x:c r="AH124" s="2" t="s">
        <x:v>507</x:v>
      </x:c>
      <x:c r="AI124" s="3">
        <x:v>91</x:v>
      </x:c>
      <x:c r="AJ124" s="3">
        <x:v>11</x:v>
      </x:c>
      <x:c r="AK124" s="2" t="s">
        <x:v>66</x:v>
      </x:c>
      <x:c r="AL124" s="3">
        <x:v>0</x:v>
      </x:c>
      <x:c r="AM124" s="2" t="s">
        <x:v>543</x:v>
      </x:c>
      <x:c r="AN124" s="3">
        <x:v>92</x:v>
      </x:c>
      <x:c r="AO124" s="3">
        <x:v>6</x:v>
      </x:c>
      <x:c r="AP124" s="3">
        <x:v>17</x:v>
      </x:c>
      <x:c r="AQ124" s="5">
        <x:v>35.352847672868442</x:v>
      </x:c>
      <x:c r="AR124" s="5">
        <x:v>33.452889156911333</x:v>
      </x:c>
      <x:c r="AS124" s="5">
        <x:f t="shared" si="7"/>
        <x:v>99.999999999999957</x:v>
      </x:c>
      <x:c r="AT124" s="5">
        <x:v>353.52847672868432</x:v>
      </x:c>
      <x:c r="AU124" s="5">
        <x:v>400.58047305017482</x:v>
      </x:c>
      <x:c r="AV124" s="5">
        <x:v>51.870256351000933</x:v>
      </x:c>
      <x:c r="AW124" s="2" t="b">
        <x:v>0</x:v>
      </x:c>
      <x:c r="AX124" s="2"/>
      <x:c r="AY124" s="2" t="s">
        <x:v>75</x:v>
      </x:c>
      <x:c r="AZ124" s="6">
        <x:v>91</x:v>
      </x:c>
      <x:c r="BA124" s="6"/>
      <x:c r="BB124" s="7"/>
      <x:c r="BC124" s="7"/>
      <x:c r="BD124" s="8"/>
      <x:c r="BE124" s="2" t="e">
        <x:f>IF(AE124="Blocked","No",IF(AJ124&lt;=[1]Model_Parameters!$B$20,"Yes","No"))</x:f>
        <x:v>#NAME?</x:v>
      </x:c>
      <x:c r="BF124" s="2" t="str">
        <x:f t="shared" si="8"/>
        <x:v>Yes</x:v>
      </x:c>
      <x:c r="BG124" s="2" t="str">
        <x:f t="shared" si="9"/>
        <x:v>Yes</x:v>
      </x:c>
      <x:c r="BH124" s="24"/>
      <x:c r="BI124" s="24"/>
    </x:row>
    <x:row r="125">
      <x:c r="A125" s="2" t="s">
        <x:v>59</x:v>
      </x:c>
      <x:c r="B125" s="3">
        <x:v>266</x:v>
      </x:c>
      <x:c r="C125" s="2" t="s">
        <x:v>544</x:v>
      </x:c>
      <x:c r="D125" s="2" t="s">
        <x:v>545</x:v>
      </x:c>
      <x:c r="E125" s="2" t="s">
        <x:v>71</x:v>
      </x:c>
      <x:c r="F125" s="2" t="s">
        <x:v>72</x:v>
      </x:c>
      <x:c r="G125" s="3">
        <x:v>112</x:v>
      </x:c>
      <x:c r="H125" s="3">
        <x:v>1</x:v>
      </x:c>
      <x:c r="I125" s="3">
        <x:v>130</x:v>
      </x:c>
      <x:c r="J125" s="4">
        <x:v>9.7879282218597069E-2</x:v>
      </x:c>
      <x:c r="K125" s="3">
        <x:v>0</x:v>
      </x:c>
      <x:c r="L125" s="2" t="s">
        <x:v>502</x:v>
      </x:c>
      <x:c r="M125" s="3">
        <x:v>1357</x:v>
      </x:c>
      <x:c r="N125" s="3">
        <x:v>91</x:v>
      </x:c>
      <x:c r="O125" s="5">
        <x:v>82.797438617329291</x:v>
      </x:c>
      <x:c r="P125" s="5">
        <x:v>14.28816502839519</x:v>
      </x:c>
      <x:c r="Q125" s="5"/>
      <x:c r="R125" s="5">
        <x:v>76.342369110040423</x:v>
      </x:c>
      <x:c r="S125" s="5">
        <x:f t="shared" si="5"/>
        <x:v>51.379291533972456</x:v>
      </x:c>
      <x:c r="T125" s="5">
        <x:f t="shared" si="6"/>
        <x:v>51.379291533972456</x:v>
      </x:c>
      <x:c r="U125" s="5" t="e">
        <x:f>T125/[1]Model_Parameters!$B$22</x:f>
        <x:v>#NAME?</x:v>
      </x:c>
      <x:c r="V125" s="5">
        <x:v>217.77656968560461</x:v>
      </x:c>
      <x:c r="W125" s="5">
        <x:v>217.77656968560461</x:v>
      </x:c>
      <x:c r="X125" s="5">
        <x:v>93.473805945080414</x:v>
      </x:c>
      <x:c r="Y125" s="3">
        <x:v>10</x:v>
      </x:c>
      <x:c r="Z125" s="3">
        <x:v>4</x:v>
      </x:c>
      <x:c r="AA125" s="3">
        <x:v>5</x:v>
      </x:c>
      <x:c r="AB125" s="2"/>
      <x:c r="AC125" s="3"/>
      <x:c r="AD125" s="3"/>
      <x:c r="AE125" s="2" t="s">
        <x:v>136</x:v>
      </x:c>
      <x:c r="AF125" s="3">
        <x:v>6</x:v>
      </x:c>
      <x:c r="AG125" s="3">
        <x:v>0</x:v>
      </x:c>
      <x:c r="AH125" s="2" t="s">
        <x:v>532</x:v>
      </x:c>
      <x:c r="AI125" s="3">
        <x:v>92</x:v>
      </x:c>
      <x:c r="AJ125" s="3">
        <x:v>8</x:v>
      </x:c>
      <x:c r="AK125" s="2" t="s">
        <x:v>66</x:v>
      </x:c>
      <x:c r="AL125" s="3">
        <x:v>0</x:v>
      </x:c>
      <x:c r="AM125" s="2" t="s">
        <x:v>546</x:v>
      </x:c>
      <x:c r="AN125" s="3">
        <x:v>93</x:v>
      </x:c>
      <x:c r="AO125" s="3">
        <x:v>16</x:v>
      </x:c>
      <x:c r="AP125" s="3">
        <x:v>24</x:v>
      </x:c>
      <x:c r="AQ125" s="5">
        <x:v>54.966512826234819</x:v>
      </x:c>
      <x:c r="AR125" s="5">
        <x:v>51.379291533972477</x:v>
      </x:c>
      <x:c r="AS125" s="5">
        <x:f t="shared" si="7"/>
        <x:v>100.00000000000004</x:v>
      </x:c>
      <x:c r="AT125" s="5">
        <x:v>206.12442309838059</x:v>
      </x:c>
      <x:c r="AU125" s="5">
        <x:v>217.77656968560461</x:v>
      </x:c>
      <x:c r="AV125" s="5">
        <x:v>76.342369110040423</x:v>
      </x:c>
      <x:c r="AW125" s="2" t="b">
        <x:v>0</x:v>
      </x:c>
      <x:c r="AX125" s="2"/>
      <x:c r="AY125" s="2" t="s">
        <x:v>75</x:v>
      </x:c>
      <x:c r="AZ125" s="6">
        <x:v>91</x:v>
      </x:c>
      <x:c r="BA125" s="6"/>
      <x:c r="BB125" s="7"/>
      <x:c r="BC125" s="7"/>
      <x:c r="BD125" s="8"/>
      <x:c r="BE125" s="2" t="e">
        <x:f>IF(AE125="Blocked","No",IF(AJ125&lt;=[1]Model_Parameters!$B$20,"Yes","No"))</x:f>
        <x:v>#NAME?</x:v>
      </x:c>
      <x:c r="BF125" s="2" t="str">
        <x:f t="shared" si="8"/>
        <x:v>Yes</x:v>
      </x:c>
      <x:c r="BG125" s="2" t="str">
        <x:f t="shared" si="9"/>
        <x:v>Yes</x:v>
      </x:c>
      <x:c r="BH125" s="24"/>
      <x:c r="BI125" s="24"/>
    </x:row>
    <x:row r="126">
      <x:c r="A126" s="2" t="s">
        <x:v>59</x:v>
      </x:c>
      <x:c r="B126" s="3">
        <x:v>267</x:v>
      </x:c>
      <x:c r="C126" s="2" t="s">
        <x:v>547</x:v>
      </x:c>
      <x:c r="D126" s="2" t="s">
        <x:v>548</x:v>
      </x:c>
      <x:c r="E126" s="2" t="s">
        <x:v>71</x:v>
      </x:c>
      <x:c r="F126" s="2" t="s">
        <x:v>72</x:v>
      </x:c>
      <x:c r="G126" s="3">
        <x:v>113</x:v>
      </x:c>
      <x:c r="H126" s="3">
        <x:v>1</x:v>
      </x:c>
      <x:c r="I126" s="3">
        <x:v>130</x:v>
      </x:c>
      <x:c r="J126" s="4">
        <x:v>9.7879282218597069E-2</x:v>
      </x:c>
      <x:c r="K126" s="3">
        <x:v>0</x:v>
      </x:c>
      <x:c r="L126" s="2" t="s">
        <x:v>549</x:v>
      </x:c>
      <x:c r="M126" s="3">
        <x:v>1362</x:v>
      </x:c>
      <x:c r="N126" s="3">
        <x:v>91</x:v>
      </x:c>
      <x:c r="O126" s="5">
        <x:v>134.14681786769989</x:v>
      </x:c>
      <x:c r="P126" s="5">
        <x:v>10.906516657763939</x:v>
      </x:c>
      <x:c r="Q126" s="5"/>
      <x:c r="R126" s="5">
        <x:v>59.591513810297847</x:v>
      </x:c>
      <x:c r="S126" s="5">
        <x:f t="shared" si="5"/>
        <x:v>65.309374459104546</x:v>
      </x:c>
      <x:c r="T126" s="5">
        <x:f t="shared" si="6"/>
        <x:v>65.309374459104546</x:v>
      </x:c>
      <x:c r="U126" s="5" t="e">
        <x:f>T126/[1]Model_Parameters!$B$22</x:f>
        <x:v>#NAME?</x:v>
      </x:c>
      <x:c r="V126" s="5">
        <x:v>156.06774607491761</x:v>
      </x:c>
      <x:c r="W126" s="5">
        <x:v>156.06774607491761</x:v>
      </x:c>
      <x:c r="X126" s="5">
        <x:v>94.888620865502929</x:v>
      </x:c>
      <x:c r="Y126" s="3">
        <x:v>10</x:v>
      </x:c>
      <x:c r="Z126" s="3">
        <x:v>4</x:v>
      </x:c>
      <x:c r="AA126" s="3">
        <x:v>5</x:v>
      </x:c>
      <x:c r="AB126" s="2"/>
      <x:c r="AC126" s="3"/>
      <x:c r="AD126" s="3"/>
      <x:c r="AE126" s="2" t="s">
        <x:v>136</x:v>
      </x:c>
      <x:c r="AF126" s="3">
        <x:v>4</x:v>
      </x:c>
      <x:c r="AG126" s="3">
        <x:v>0</x:v>
      </x:c>
      <x:c r="AH126" s="2" t="s">
        <x:v>515</x:v>
      </x:c>
      <x:c r="AI126" s="3">
        <x:v>92</x:v>
      </x:c>
      <x:c r="AJ126" s="3">
        <x:v>4</x:v>
      </x:c>
      <x:c r="AK126" s="2" t="s">
        <x:v>66</x:v>
      </x:c>
      <x:c r="AL126" s="3">
        <x:v>0</x:v>
      </x:c>
      <x:c r="AM126" s="2" t="s">
        <x:v>550</x:v>
      </x:c>
      <x:c r="AN126" s="3">
        <x:v>93</x:v>
      </x:c>
      <x:c r="AO126" s="3">
        <x:v>27</x:v>
      </x:c>
      <x:c r="AP126" s="3">
        <x:v>31</x:v>
      </x:c>
      <x:c r="AQ126" s="5">
        <x:v>68.827404027375763</x:v>
      </x:c>
      <x:c r="AR126" s="5">
        <x:v>65.309374459104447</x:v>
      </x:c>
      <x:c r="AS126" s="5">
        <x:f t="shared" si="7"/>
        <x:v>99.999999999999844</x:v>
      </x:c>
      <x:c r="AT126" s="5">
        <x:v>152.9497867275017</x:v>
      </x:c>
      <x:c r="AU126" s="5">
        <x:v>156.06774607491761</x:v>
      </x:c>
      <x:c r="AV126" s="5">
        <x:v>59.591513810297847</x:v>
      </x:c>
      <x:c r="AW126" s="2" t="b">
        <x:v>0</x:v>
      </x:c>
      <x:c r="AX126" s="2"/>
      <x:c r="AY126" s="2" t="s">
        <x:v>75</x:v>
      </x:c>
      <x:c r="AZ126" s="6">
        <x:v>91</x:v>
      </x:c>
      <x:c r="BA126" s="6"/>
      <x:c r="BB126" s="7"/>
      <x:c r="BC126" s="7"/>
      <x:c r="BD126" s="8"/>
      <x:c r="BE126" s="2" t="e">
        <x:f>IF(AE126="Blocked","No",IF(AJ126&lt;=[1]Model_Parameters!$B$20,"Yes","No"))</x:f>
        <x:v>#NAME?</x:v>
      </x:c>
      <x:c r="BF126" s="2" t="str">
        <x:f t="shared" si="8"/>
        <x:v>Yes</x:v>
      </x:c>
      <x:c r="BG126" s="2" t="str">
        <x:f t="shared" si="9"/>
        <x:v>Yes</x:v>
      </x:c>
      <x:c r="BH126" s="24"/>
      <x:c r="BI126" s="24"/>
    </x:row>
    <x:row r="127">
      <x:c r="A127" s="2" t="s">
        <x:v>59</x:v>
      </x:c>
      <x:c r="B127" s="3">
        <x:v>268</x:v>
      </x:c>
      <x:c r="C127" s="2" t="s">
        <x:v>551</x:v>
      </x:c>
      <x:c r="D127" s="2" t="s">
        <x:v>552</x:v>
      </x:c>
      <x:c r="E127" s="2" t="s">
        <x:v>71</x:v>
      </x:c>
      <x:c r="F127" s="2" t="s">
        <x:v>72</x:v>
      </x:c>
      <x:c r="G127" s="3">
        <x:v>114</x:v>
      </x:c>
      <x:c r="H127" s="3">
        <x:v>1</x:v>
      </x:c>
      <x:c r="I127" s="3">
        <x:v>130</x:v>
      </x:c>
      <x:c r="J127" s="4">
        <x:v>9.7879282218597069E-2</x:v>
      </x:c>
      <x:c r="K127" s="3">
        <x:v>0</x:v>
      </x:c>
      <x:c r="L127" s="2" t="s">
        <x:v>553</x:v>
      </x:c>
      <x:c r="M127" s="3">
        <x:v>1370</x:v>
      </x:c>
      <x:c r="N127" s="3">
        <x:v>92</x:v>
      </x:c>
      <x:c r="O127" s="5">
        <x:v>207.5637012726404</x:v>
      </x:c>
      <x:c r="P127" s="5">
        <x:v>37.762176082583878</x:v>
      </x:c>
      <x:c r="Q127" s="5"/>
      <x:c r="R127" s="5">
        <x:v>65.183550836810781</x:v>
      </x:c>
      <x:c r="S127" s="5">
        <x:f t="shared" si="5"/>
        <x:v>56.916820379714764</x:v>
      </x:c>
      <x:c r="T127" s="5">
        <x:f t="shared" si="6"/>
        <x:v>56.916820379714764</x:v>
      </x:c>
      <x:c r="U127" s="5" t="e">
        <x:f>T127/[1]Model_Parameters!$B$22</x:f>
        <x:v>#NAME?</x:v>
      </x:c>
      <x:c r="V127" s="5">
        <x:v>350.27029383428999</x:v>
      </x:c>
      <x:c r="W127" s="5">
        <x:v>350.27029383428999</x:v>
      </x:c>
      <x:c r="X127" s="5">
        <x:v>93.255824122152205</x:v>
      </x:c>
      <x:c r="Y127" s="3">
        <x:v>8</x:v>
      </x:c>
      <x:c r="Z127" s="3">
        <x:v>0</x:v>
      </x:c>
      <x:c r="AA127" s="3"/>
      <x:c r="AB127" s="2"/>
      <x:c r="AC127" s="3"/>
      <x:c r="AD127" s="3"/>
      <x:c r="AE127" s="2" t="s">
        <x:v>65</x:v>
      </x:c>
      <x:c r="AF127" s="3">
        <x:v>10</x:v>
      </x:c>
      <x:c r="AG127" s="3">
        <x:v>0</x:v>
      </x:c>
      <x:c r="AH127" s="2" t="s">
        <x:v>553</x:v>
      </x:c>
      <x:c r="AI127" s="3">
        <x:v>92</x:v>
      </x:c>
      <x:c r="AJ127" s="3">
        <x:v>0</x:v>
      </x:c>
      <x:c r="AK127" s="2" t="s">
        <x:v>66</x:v>
      </x:c>
      <x:c r="AL127" s="3">
        <x:v>0</x:v>
      </x:c>
      <x:c r="AM127" s="2" t="s">
        <x:v>546</x:v>
      </x:c>
      <x:c r="AN127" s="3">
        <x:v>93</x:v>
      </x:c>
      <x:c r="AO127" s="3">
        <x:v>11</x:v>
      </x:c>
      <x:c r="AP127" s="3">
        <x:v>11</x:v>
      </x:c>
      <x:c r="AQ127" s="5">
        <x:v>61.032992754599043</x:v>
      </x:c>
      <x:c r="AR127" s="5">
        <x:v>56.916820379714778</x:v>
      </x:c>
      <x:c r="AS127" s="5">
        <x:f t="shared" si="7"/>
        <x:v>100.00000000000003</x:v>
      </x:c>
      <x:c r="AT127" s="5">
        <x:v>332.90723320690392</x:v>
      </x:c>
      <x:c r="AU127" s="5">
        <x:v>350.27029383428999</x:v>
      </x:c>
      <x:c r="AV127" s="5">
        <x:v>65.183550836810781</x:v>
      </x:c>
      <x:c r="AW127" s="2" t="b">
        <x:v>0</x:v>
      </x:c>
      <x:c r="AX127" s="2"/>
      <x:c r="AY127" s="2" t="s">
        <x:v>75</x:v>
      </x:c>
      <x:c r="AZ127" s="6">
        <x:v>92</x:v>
      </x:c>
      <x:c r="BA127" s="6"/>
      <x:c r="BB127" s="7"/>
      <x:c r="BC127" s="7"/>
      <x:c r="BD127" s="8"/>
      <x:c r="BE127" s="2" t="e">
        <x:f>IF(AE127="Blocked","No",IF(AJ127&lt;=[1]Model_Parameters!$B$20,"Yes","No"))</x:f>
        <x:v>#NAME?</x:v>
      </x:c>
      <x:c r="BF127" s="2" t="str">
        <x:f t="shared" si="8"/>
        <x:v>Yes</x:v>
      </x:c>
      <x:c r="BG127" s="2" t="str">
        <x:f t="shared" si="9"/>
        <x:v>Yes</x:v>
      </x:c>
      <x:c r="BH127" s="24"/>
      <x:c r="BI127" s="24"/>
    </x:row>
    <x:row r="128">
      <x:c r="A128" s="2" t="s">
        <x:v>59</x:v>
      </x:c>
      <x:c r="B128" s="3">
        <x:v>269</x:v>
      </x:c>
      <x:c r="C128" s="2" t="s">
        <x:v>554</x:v>
      </x:c>
      <x:c r="D128" s="2" t="s">
        <x:v>555</x:v>
      </x:c>
      <x:c r="E128" s="2" t="s">
        <x:v>71</x:v>
      </x:c>
      <x:c r="F128" s="2" t="s">
        <x:v>72</x:v>
      </x:c>
      <x:c r="G128" s="3">
        <x:v>115</x:v>
      </x:c>
      <x:c r="H128" s="3">
        <x:v>1</x:v>
      </x:c>
      <x:c r="I128" s="3">
        <x:v>130</x:v>
      </x:c>
      <x:c r="J128" s="4">
        <x:v>9.7879282218597069E-2</x:v>
      </x:c>
      <x:c r="K128" s="3">
        <x:v>0</x:v>
      </x:c>
      <x:c r="L128" s="2" t="s">
        <x:v>556</x:v>
      </x:c>
      <x:c r="M128" s="3">
        <x:v>1373</x:v>
      </x:c>
      <x:c r="N128" s="3">
        <x:v>92</x:v>
      </x:c>
      <x:c r="O128" s="5">
        <x:v>63.827477110409333</x:v>
      </x:c>
      <x:c r="P128" s="5">
        <x:v>36.936282585881337</x:v>
      </x:c>
      <x:c r="Q128" s="5"/>
      <x:c r="R128" s="5">
        <x:v>66.12914736004852</x:v>
      </x:c>
      <x:c r="S128" s="5">
        <x:f t="shared" si="5"/>
        <x:v>18.633069081604308</x:v>
      </x:c>
      <x:c r="T128" s="5">
        <x:f t="shared" si="6"/>
        <x:v>18.633069081604308</x:v>
      </x:c>
      <x:c r="U128" s="5" t="e">
        <x:f>T128/[1]Model_Parameters!$B$22</x:f>
        <x:v>#NAME?</x:v>
      </x:c>
      <x:c r="V128" s="5">
        <x:v>179.42229415243551</x:v>
      </x:c>
      <x:c r="W128" s="5">
        <x:v>179.42229415243551</x:v>
      </x:c>
      <x:c r="X128" s="5">
        <x:v>91.011798032473649</x:v>
      </x:c>
      <x:c r="Y128" s="3">
        <x:v>7</x:v>
      </x:c>
      <x:c r="Z128" s="3">
        <x:v>0</x:v>
      </x:c>
      <x:c r="AA128" s="3"/>
      <x:c r="AB128" s="2"/>
      <x:c r="AC128" s="3"/>
      <x:c r="AD128" s="3"/>
      <x:c r="AE128" s="2" t="s">
        <x:v>65</x:v>
      </x:c>
      <x:c r="AF128" s="3">
        <x:v>1</x:v>
      </x:c>
      <x:c r="AG128" s="3">
        <x:v>0</x:v>
      </x:c>
      <x:c r="AH128" s="2" t="s">
        <x:v>556</x:v>
      </x:c>
      <x:c r="AI128" s="3">
        <x:v>92</x:v>
      </x:c>
      <x:c r="AJ128" s="3">
        <x:v>0</x:v>
      </x:c>
      <x:c r="AK128" s="2" t="s">
        <x:v>66</x:v>
      </x:c>
      <x:c r="AL128" s="3">
        <x:v>0</x:v>
      </x:c>
      <x:c r="AM128" s="2" t="s">
        <x:v>524</x:v>
      </x:c>
      <x:c r="AN128" s="3">
        <x:v>93</x:v>
      </x:c>
      <x:c r="AO128" s="3">
        <x:v>7</x:v>
      </x:c>
      <x:c r="AP128" s="3">
        <x:v>7</x:v>
      </x:c>
      <x:c r="AQ128" s="5">
        <x:v>20.473245759803479</x:v>
      </x:c>
      <x:c r="AR128" s="5">
        <x:v>18.633069081604312</x:v>
      </x:c>
      <x:c r="AS128" s="5">
        <x:f t="shared" si="7"/>
        <x:v>100.00000000000003</x:v>
      </x:c>
      <x:c r="AT128" s="5">
        <x:v>175.48496365545839</x:v>
      </x:c>
      <x:c r="AU128" s="5">
        <x:v>179.42229415243551</x:v>
      </x:c>
      <x:c r="AV128" s="5">
        <x:v>66.12914736004852</x:v>
      </x:c>
      <x:c r="AW128" s="2" t="b">
        <x:v>0</x:v>
      </x:c>
      <x:c r="AX128" s="2"/>
      <x:c r="AY128" s="2" t="s">
        <x:v>75</x:v>
      </x:c>
      <x:c r="AZ128" s="6">
        <x:v>92</x:v>
      </x:c>
      <x:c r="BA128" s="6"/>
      <x:c r="BB128" s="7"/>
      <x:c r="BC128" s="7"/>
      <x:c r="BD128" s="8"/>
      <x:c r="BE128" s="2" t="e">
        <x:f>IF(AE128="Blocked","No",IF(AJ128&lt;=[1]Model_Parameters!$B$20,"Yes","No"))</x:f>
        <x:v>#NAME?</x:v>
      </x:c>
      <x:c r="BF128" s="2" t="str">
        <x:f t="shared" si="8"/>
        <x:v>Yes</x:v>
      </x:c>
      <x:c r="BG128" s="2" t="str">
        <x:f t="shared" si="9"/>
        <x:v>Yes</x:v>
      </x:c>
      <x:c r="BH128" s="24"/>
      <x:c r="BI128" s="24"/>
    </x:row>
    <x:row r="129">
      <x:c r="A129" s="2" t="s">
        <x:v>59</x:v>
      </x:c>
      <x:c r="B129" s="3">
        <x:v>270</x:v>
      </x:c>
      <x:c r="C129" s="2" t="s">
        <x:v>557</x:v>
      </x:c>
      <x:c r="D129" s="2" t="s">
        <x:v>558</x:v>
      </x:c>
      <x:c r="E129" s="2" t="s">
        <x:v>71</x:v>
      </x:c>
      <x:c r="F129" s="2" t="s">
        <x:v>72</x:v>
      </x:c>
      <x:c r="G129" s="3">
        <x:v>116</x:v>
      </x:c>
      <x:c r="H129" s="3">
        <x:v>1</x:v>
      </x:c>
      <x:c r="I129" s="3">
        <x:v>130</x:v>
      </x:c>
      <x:c r="J129" s="4">
        <x:v>9.7879282218597069E-2</x:v>
      </x:c>
      <x:c r="K129" s="3">
        <x:v>0</x:v>
      </x:c>
      <x:c r="L129" s="2" t="s">
        <x:v>556</x:v>
      </x:c>
      <x:c r="M129" s="3">
        <x:v>1373</x:v>
      </x:c>
      <x:c r="N129" s="3">
        <x:v>92</x:v>
      </x:c>
      <x:c r="O129" s="5">
        <x:v>79.713907979521522</x:v>
      </x:c>
      <x:c r="P129" s="5">
        <x:v>15.778225381545891</x:v>
      </x:c>
      <x:c r="Q129" s="5"/>
      <x:c r="R129" s="5">
        <x:v>70.799059782781413</x:v>
      </x:c>
      <x:c r="S129" s="5">
        <x:f t="shared" si="5"/>
        <x:v>43.859257304165801</x:v>
      </x:c>
      <x:c r="T129" s="5">
        <x:f t="shared" si="6"/>
        <x:v>43.859257304165801</x:v>
      </x:c>
      <x:c r="U129" s="5" t="e">
        <x:f>T129/[1]Model_Parameters!$B$22</x:f>
        <x:v>#NAME?</x:v>
      </x:c>
      <x:c r="V129" s="5">
        <x:v>124.557444394708</x:v>
      </x:c>
      <x:c r="W129" s="5">
        <x:v>124.557444394708</x:v>
      </x:c>
      <x:c r="X129" s="5">
        <x:v>91.53700727812847</x:v>
      </x:c>
      <x:c r="Y129" s="3">
        <x:v>8</x:v>
      </x:c>
      <x:c r="Z129" s="3">
        <x:v>0</x:v>
      </x:c>
      <x:c r="AA129" s="3"/>
      <x:c r="AB129" s="2"/>
      <x:c r="AC129" s="3"/>
      <x:c r="AD129" s="3"/>
      <x:c r="AE129" s="2" t="s">
        <x:v>65</x:v>
      </x:c>
      <x:c r="AF129" s="3">
        <x:v>3</x:v>
      </x:c>
      <x:c r="AG129" s="3">
        <x:v>0</x:v>
      </x:c>
      <x:c r="AH129" s="2" t="s">
        <x:v>556</x:v>
      </x:c>
      <x:c r="AI129" s="3">
        <x:v>92</x:v>
      </x:c>
      <x:c r="AJ129" s="3">
        <x:v>0</x:v>
      </x:c>
      <x:c r="AK129" s="2" t="s">
        <x:v>66</x:v>
      </x:c>
      <x:c r="AL129" s="3">
        <x:v>0</x:v>
      </x:c>
      <x:c r="AM129" s="2" t="s">
        <x:v>559</x:v>
      </x:c>
      <x:c r="AN129" s="3">
        <x:v>94</x:v>
      </x:c>
      <x:c r="AO129" s="3">
        <x:v>24</x:v>
      </x:c>
      <x:c r="AP129" s="3">
        <x:v>24</x:v>
      </x:c>
      <x:c r="AQ129" s="5">
        <x:v>47.914235573490743</x:v>
      </x:c>
      <x:c r="AR129" s="5">
        <x:v>43.859257304165823</x:v>
      </x:c>
      <x:c r="AS129" s="5">
        <x:f t="shared" si="7"/>
        <x:v>100.00000000000004</x:v>
      </x:c>
      <x:c r="AT129" s="5">
        <x:v>119.7855889337268</x:v>
      </x:c>
      <x:c r="AU129" s="5">
        <x:v>124.557444394708</x:v>
      </x:c>
      <x:c r="AV129" s="5">
        <x:v>70.799059782781413</x:v>
      </x:c>
      <x:c r="AW129" s="2" t="b">
        <x:v>0</x:v>
      </x:c>
      <x:c r="AX129" s="2"/>
      <x:c r="AY129" s="2" t="s">
        <x:v>75</x:v>
      </x:c>
      <x:c r="AZ129" s="6">
        <x:v>92</x:v>
      </x:c>
      <x:c r="BA129" s="6"/>
      <x:c r="BB129" s="7"/>
      <x:c r="BC129" s="7"/>
      <x:c r="BD129" s="8"/>
      <x:c r="BE129" s="2" t="e">
        <x:f>IF(AE129="Blocked","No",IF(AJ129&lt;=[1]Model_Parameters!$B$20,"Yes","No"))</x:f>
        <x:v>#NAME?</x:v>
      </x:c>
      <x:c r="BF129" s="2" t="str">
        <x:f t="shared" si="8"/>
        <x:v>Yes</x:v>
      </x:c>
      <x:c r="BG129" s="2" t="str">
        <x:f t="shared" si="9"/>
        <x:v>Yes</x:v>
      </x:c>
      <x:c r="BH129" s="24"/>
      <x:c r="BI129" s="24"/>
    </x:row>
    <x:row r="130">
      <x:c r="A130" s="2" t="s">
        <x:v>59</x:v>
      </x:c>
      <x:c r="B130" s="3">
        <x:v>272</x:v>
      </x:c>
      <x:c r="C130" s="2" t="s">
        <x:v>560</x:v>
      </x:c>
      <x:c r="D130" s="2" t="s">
        <x:v>561</x:v>
      </x:c>
      <x:c r="E130" s="2" t="s">
        <x:v>71</x:v>
      </x:c>
      <x:c r="F130" s="2" t="s">
        <x:v>72</x:v>
      </x:c>
      <x:c r="G130" s="3">
        <x:v>117</x:v>
      </x:c>
      <x:c r="H130" s="3">
        <x:v>1</x:v>
      </x:c>
      <x:c r="I130" s="3">
        <x:v>130</x:v>
      </x:c>
      <x:c r="J130" s="4">
        <x:v>9.7879282218597069E-2</x:v>
      </x:c>
      <x:c r="K130" s="3">
        <x:v>0</x:v>
      </x:c>
      <x:c r="L130" s="2" t="s">
        <x:v>562</x:v>
      </x:c>
      <x:c r="M130" s="3">
        <x:v>1376</x:v>
      </x:c>
      <x:c r="N130" s="3">
        <x:v>92</x:v>
      </x:c>
      <x:c r="O130" s="5">
        <x:v>73.421934600890395</x:v>
      </x:c>
      <x:c r="P130" s="5">
        <x:v>34.196655285032243</x:v>
      </x:c>
      <x:c r="Q130" s="5"/>
      <x:c r="R130" s="5">
        <x:v>78.599725680615848</x:v>
      </x:c>
      <x:c r="S130" s="5" t="n">
        <x:f t="shared" ref="S130:S193" si="10">O130*(R130-P130)/100</x:f>
        <x:v>32.601593306632715</x:v>
      </x:c>
      <x:c r="T130" s="5" t="n">
        <x:f t="shared" ref="T130:T193" si="11">O130*(R130-IF(Q130="",P130,Q130))/100</x:f>
        <x:v>32.601593306632715</x:v>
      </x:c>
      <x:c r="U130" s="5" t="e">
        <x:f>T130/[1]Model_Parameters!$B$22</x:f>
        <x:v>#NAME?</x:v>
      </x:c>
      <x:c r="V130" s="5">
        <x:v>343.68789835692769</x:v>
      </x:c>
      <x:c r="W130" s="5">
        <x:v>343.68789835692769</x:v>
      </x:c>
      <x:c r="X130" s="5">
        <x:v>92.851240617358783</x:v>
      </x:c>
      <x:c r="Y130" s="3">
        <x:v>9</x:v>
      </x:c>
      <x:c r="Z130" s="3">
        <x:v>0</x:v>
      </x:c>
      <x:c r="AA130" s="3"/>
      <x:c r="AB130" s="2"/>
      <x:c r="AC130" s="3"/>
      <x:c r="AD130" s="3"/>
      <x:c r="AE130" s="2" t="s">
        <x:v>65</x:v>
      </x:c>
      <x:c r="AF130" s="3">
        <x:v>9</x:v>
      </x:c>
      <x:c r="AG130" s="3">
        <x:v>0</x:v>
      </x:c>
      <x:c r="AH130" s="2" t="s">
        <x:v>562</x:v>
      </x:c>
      <x:c r="AI130" s="3">
        <x:v>92</x:v>
      </x:c>
      <x:c r="AJ130" s="3">
        <x:v>0</x:v>
      </x:c>
      <x:c r="AK130" s="2" t="s">
        <x:v>66</x:v>
      </x:c>
      <x:c r="AL130" s="3">
        <x:v>0</x:v>
      </x:c>
      <x:c r="AM130" s="2" t="s">
        <x:v>536</x:v>
      </x:c>
      <x:c r="AN130" s="3">
        <x:v>93</x:v>
      </x:c>
      <x:c r="AO130" s="3">
        <x:v>7</x:v>
      </x:c>
      <x:c r="AP130" s="3">
        <x:v>7</x:v>
      </x:c>
      <x:c r="AQ130" s="5">
        <x:v>35.111639962878179</x:v>
      </x:c>
      <x:c r="AR130" s="5">
        <x:v>32.601593306632729</x:v>
      </x:c>
      <x:c r="AS130" s="5" t="n">
        <x:f t="shared" ref="AS130:AS193" si="12">IF(S130=0,100,IFERROR(AR130/S130*100,0))</x:f>
        <x:v>100.00000000000004</x:v>
      </x:c>
      <x:c r="AT130" s="5">
        <x:v>300.95691396752733</x:v>
      </x:c>
      <x:c r="AU130" s="5">
        <x:v>343.68789835692769</x:v>
      </x:c>
      <x:c r="AV130" s="5">
        <x:v>78.599725680615848</x:v>
      </x:c>
      <x:c r="AW130" s="2" t="b">
        <x:v>0</x:v>
      </x:c>
      <x:c r="AX130" s="2"/>
      <x:c r="AY130" s="2" t="s">
        <x:v>75</x:v>
      </x:c>
      <x:c r="AZ130" s="6">
        <x:v>92</x:v>
      </x:c>
      <x:c r="BA130" s="6"/>
      <x:c r="BB130" s="7"/>
      <x:c r="BC130" s="7"/>
      <x:c r="BD130" s="8"/>
      <x:c r="BE130" s="2" t="e">
        <x:f>IF(AE130="Blocked","No",IF(AJ130&lt;=[1]Model_Parameters!$B$20,"Yes","No"))</x:f>
        <x:v>#NAME?</x:v>
      </x:c>
      <x:c r="BF130" s="2" t="str">
        <x:f t="shared" ref="BF130:BF193" si="13">IF(AK130="Completed","Yes","No")</x:f>
        <x:v>Yes</x:v>
      </x:c>
      <x:c r="BG130" s="2" t="e">
        <x:f t="shared" ref="BG130:BG193" si="14">IF(AND(BE130="Yes",BF130="Yes"),"Yes","No")</x:f>
        <x:v>#NAME?</x:v>
      </x:c>
      <x:c r="BH130" s="24"/>
      <x:c r="BI130" s="24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>
        <x:f t="shared" si="10"/>
      </x:c>
      <x:c r="T131">
        <x:f t="shared" si="11"/>
      </x:c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>
        <x:f t="shared" si="12"/>
      </x:c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>
        <x:f t="shared" si="13"/>
      </x:c>
      <x:c r="BG131">
        <x:f t="shared" si="14"/>
      </x:c>
      <x:c r="BH131"/>
      <x:c r="BI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>
        <x:f t="shared" si="10"/>
      </x:c>
      <x:c r="T132">
        <x:f t="shared" si="11"/>
      </x:c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>
        <x:f t="shared" si="12"/>
      </x:c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>
        <x:f t="shared" si="13"/>
      </x:c>
      <x:c r="BG132">
        <x:f t="shared" si="14"/>
      </x:c>
      <x:c r="BH132"/>
      <x:c r="BI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>
        <x:f t="shared" si="10"/>
      </x:c>
      <x:c r="T133">
        <x:f t="shared" si="11"/>
      </x:c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>
        <x:f t="shared" si="12"/>
      </x:c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>
        <x:f t="shared" si="13"/>
      </x:c>
      <x:c r="BG133">
        <x:f t="shared" si="14"/>
      </x:c>
      <x:c r="BH133"/>
      <x:c r="BI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>
        <x:f t="shared" si="10"/>
      </x:c>
      <x:c r="T134">
        <x:f t="shared" si="11"/>
      </x:c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>
        <x:f t="shared" si="12"/>
      </x:c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>
        <x:f t="shared" si="13"/>
      </x:c>
      <x:c r="BG134">
        <x:f t="shared" si="14"/>
      </x:c>
      <x:c r="BH134"/>
      <x:c r="BI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>
        <x:f t="shared" si="10"/>
      </x:c>
      <x:c r="T135">
        <x:f t="shared" si="11"/>
      </x:c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>
        <x:f t="shared" si="12"/>
      </x:c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>
        <x:f t="shared" si="13"/>
      </x:c>
      <x:c r="BG135">
        <x:f t="shared" si="14"/>
      </x:c>
      <x:c r="BH135"/>
      <x:c r="BI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>
        <x:f t="shared" si="10"/>
      </x:c>
      <x:c r="T136">
        <x:f t="shared" si="11"/>
      </x:c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>
        <x:f t="shared" si="12"/>
      </x:c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>
        <x:f t="shared" si="13"/>
      </x:c>
      <x:c r="BG136">
        <x:f t="shared" si="14"/>
      </x:c>
      <x:c r="BH136"/>
      <x:c r="BI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>
        <x:f t="shared" si="10"/>
      </x:c>
      <x:c r="T137">
        <x:f t="shared" si="11"/>
      </x:c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>
        <x:f t="shared" si="12"/>
      </x:c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>
        <x:f t="shared" si="13"/>
      </x:c>
      <x:c r="BG137">
        <x:f t="shared" si="14"/>
      </x:c>
      <x:c r="BH137"/>
      <x:c r="BI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>
        <x:f t="shared" si="10"/>
      </x:c>
      <x:c r="T138">
        <x:f t="shared" si="11"/>
      </x:c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>
        <x:f t="shared" si="12"/>
      </x:c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>
        <x:f t="shared" si="13"/>
      </x:c>
      <x:c r="BG138">
        <x:f t="shared" si="14"/>
      </x:c>
      <x:c r="BH138"/>
      <x:c r="BI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>
        <x:f t="shared" si="10"/>
      </x:c>
      <x:c r="T139">
        <x:f t="shared" si="11"/>
      </x:c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>
        <x:f t="shared" si="12"/>
      </x:c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>
        <x:f t="shared" si="13"/>
      </x:c>
      <x:c r="BG139">
        <x:f t="shared" si="14"/>
      </x:c>
      <x:c r="BH139"/>
      <x:c r="BI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>
        <x:f t="shared" si="10"/>
      </x:c>
      <x:c r="T140">
        <x:f t="shared" si="11"/>
      </x:c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>
        <x:f t="shared" si="12"/>
      </x:c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>
        <x:f t="shared" si="13"/>
      </x:c>
      <x:c r="BG140">
        <x:f t="shared" si="14"/>
      </x:c>
      <x:c r="BH140"/>
      <x:c r="BI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>
        <x:f t="shared" si="10"/>
      </x:c>
      <x:c r="T141">
        <x:f t="shared" si="11"/>
      </x:c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>
        <x:f t="shared" si="12"/>
      </x:c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>
        <x:f t="shared" si="13"/>
      </x:c>
      <x:c r="BG141">
        <x:f t="shared" si="14"/>
      </x:c>
      <x:c r="BH141"/>
      <x:c r="BI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>
        <x:f t="shared" si="10"/>
      </x:c>
      <x:c r="T142">
        <x:f t="shared" si="11"/>
      </x:c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>
        <x:f t="shared" si="12"/>
      </x:c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>
        <x:f t="shared" si="13"/>
      </x:c>
      <x:c r="BG142">
        <x:f t="shared" si="14"/>
      </x:c>
      <x:c r="BH142"/>
      <x:c r="BI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>
        <x:f t="shared" si="10"/>
      </x:c>
      <x:c r="T143">
        <x:f t="shared" si="11"/>
      </x:c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>
        <x:f t="shared" si="12"/>
      </x:c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>
        <x:f t="shared" si="13"/>
      </x:c>
      <x:c r="BG143">
        <x:f t="shared" si="14"/>
      </x:c>
      <x:c r="BH143"/>
      <x:c r="BI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>
        <x:f t="shared" si="10"/>
      </x:c>
      <x:c r="T144">
        <x:f t="shared" si="11"/>
      </x:c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>
        <x:f t="shared" si="12"/>
      </x:c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>
        <x:f t="shared" si="13"/>
      </x:c>
      <x:c r="BG144">
        <x:f t="shared" si="14"/>
      </x:c>
      <x:c r="BH144"/>
      <x:c r="BI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>
        <x:f t="shared" si="10"/>
      </x:c>
      <x:c r="T145">
        <x:f t="shared" si="11"/>
      </x:c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>
        <x:f t="shared" si="12"/>
      </x:c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>
        <x:f t="shared" si="13"/>
      </x:c>
      <x:c r="BG145">
        <x:f t="shared" si="14"/>
      </x:c>
      <x:c r="BH145"/>
      <x:c r="BI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>
        <x:f t="shared" si="10"/>
      </x:c>
      <x:c r="T146">
        <x:f t="shared" si="11"/>
      </x:c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>
        <x:f t="shared" si="12"/>
      </x:c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>
        <x:f t="shared" si="13"/>
      </x:c>
      <x:c r="BG146">
        <x:f t="shared" si="14"/>
      </x:c>
      <x:c r="BH146"/>
      <x:c r="BI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>
        <x:f t="shared" si="10"/>
      </x:c>
      <x:c r="T147">
        <x:f t="shared" si="11"/>
      </x:c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>
        <x:f t="shared" si="12"/>
      </x:c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>
        <x:f t="shared" si="13"/>
      </x:c>
      <x:c r="BG147">
        <x:f t="shared" si="14"/>
      </x:c>
      <x:c r="BH147"/>
      <x:c r="BI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>
        <x:f t="shared" si="10"/>
      </x:c>
      <x:c r="T148">
        <x:f t="shared" si="11"/>
      </x:c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>
        <x:f t="shared" si="12"/>
      </x:c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>
        <x:f t="shared" si="13"/>
      </x:c>
      <x:c r="BG148">
        <x:f t="shared" si="14"/>
      </x:c>
      <x:c r="BH148"/>
      <x:c r="BI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>
        <x:f t="shared" si="10"/>
      </x:c>
      <x:c r="T149">
        <x:f t="shared" si="11"/>
      </x:c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>
        <x:f t="shared" si="12"/>
      </x:c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>
        <x:f t="shared" si="13"/>
      </x:c>
      <x:c r="BG149">
        <x:f t="shared" si="14"/>
      </x:c>
      <x:c r="BH149"/>
      <x:c r="BI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>
        <x:f t="shared" si="10"/>
      </x:c>
      <x:c r="T150">
        <x:f t="shared" si="11"/>
      </x:c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>
        <x:f t="shared" si="12"/>
      </x:c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>
        <x:f t="shared" si="13"/>
      </x:c>
      <x:c r="BG150">
        <x:f t="shared" si="14"/>
      </x:c>
      <x:c r="BH150"/>
      <x:c r="BI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>
        <x:f t="shared" si="10"/>
      </x:c>
      <x:c r="T151">
        <x:f t="shared" si="11"/>
      </x:c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>
        <x:f t="shared" si="12"/>
      </x:c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>
        <x:f t="shared" si="13"/>
      </x:c>
      <x:c r="BG151">
        <x:f t="shared" si="14"/>
      </x:c>
      <x:c r="BH151"/>
      <x:c r="BI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>
        <x:f t="shared" si="10"/>
      </x:c>
      <x:c r="T152">
        <x:f t="shared" si="11"/>
      </x:c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>
        <x:f t="shared" si="12"/>
      </x:c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>
        <x:f t="shared" si="13"/>
      </x:c>
      <x:c r="BG152">
        <x:f t="shared" si="14"/>
      </x:c>
      <x:c r="BH152"/>
      <x:c r="BI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>
        <x:f t="shared" si="10"/>
      </x:c>
      <x:c r="T153">
        <x:f t="shared" si="11"/>
      </x:c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>
        <x:f t="shared" si="12"/>
      </x:c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>
        <x:f t="shared" si="13"/>
      </x:c>
      <x:c r="BG153">
        <x:f t="shared" si="14"/>
      </x:c>
      <x:c r="BH153"/>
      <x:c r="BI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>
        <x:f t="shared" si="10"/>
      </x:c>
      <x:c r="T154">
        <x:f t="shared" si="11"/>
      </x:c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>
        <x:f t="shared" si="12"/>
      </x:c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>
        <x:f t="shared" si="13"/>
      </x:c>
      <x:c r="BG154">
        <x:f t="shared" si="14"/>
      </x:c>
      <x:c r="BH154"/>
      <x:c r="BI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>
        <x:f t="shared" si="10"/>
      </x:c>
      <x:c r="T155">
        <x:f t="shared" si="11"/>
      </x:c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>
        <x:f t="shared" si="12"/>
      </x:c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>
        <x:f t="shared" si="13"/>
      </x:c>
      <x:c r="BG155">
        <x:f t="shared" si="14"/>
      </x:c>
      <x:c r="BH155"/>
      <x:c r="BI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>
        <x:f t="shared" si="10"/>
      </x:c>
      <x:c r="T156">
        <x:f t="shared" si="11"/>
      </x:c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>
        <x:f t="shared" si="12"/>
      </x:c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>
        <x:f t="shared" si="13"/>
      </x:c>
      <x:c r="BG156">
        <x:f t="shared" si="14"/>
      </x:c>
      <x:c r="BH156"/>
      <x:c r="BI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>
        <x:f t="shared" si="10"/>
      </x:c>
      <x:c r="T157">
        <x:f t="shared" si="11"/>
      </x:c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>
        <x:f t="shared" si="12"/>
      </x:c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>
        <x:f t="shared" si="13"/>
      </x:c>
      <x:c r="BG157">
        <x:f t="shared" si="14"/>
      </x:c>
      <x:c r="BH157"/>
      <x:c r="BI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>
        <x:f t="shared" si="10"/>
      </x:c>
      <x:c r="T158">
        <x:f t="shared" si="11"/>
      </x:c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>
        <x:f t="shared" si="12"/>
      </x:c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>
        <x:f t="shared" si="13"/>
      </x:c>
      <x:c r="BG158">
        <x:f t="shared" si="14"/>
      </x:c>
      <x:c r="BH158"/>
      <x:c r="BI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>
        <x:f t="shared" si="10"/>
      </x:c>
      <x:c r="T159">
        <x:f t="shared" si="11"/>
      </x:c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>
        <x:f t="shared" si="12"/>
      </x:c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>
        <x:f t="shared" si="13"/>
      </x:c>
      <x:c r="BG159">
        <x:f t="shared" si="14"/>
      </x:c>
      <x:c r="BH159"/>
      <x:c r="BI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>
        <x:f t="shared" si="10"/>
      </x:c>
      <x:c r="T160">
        <x:f t="shared" si="11"/>
      </x:c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>
        <x:f t="shared" si="12"/>
      </x:c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>
        <x:f t="shared" si="13"/>
      </x:c>
      <x:c r="BG160">
        <x:f t="shared" si="14"/>
      </x:c>
      <x:c r="BH160"/>
      <x:c r="BI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>
        <x:f t="shared" si="10"/>
      </x:c>
      <x:c r="T161">
        <x:f t="shared" si="11"/>
      </x:c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>
        <x:f t="shared" si="12"/>
      </x:c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>
        <x:f t="shared" si="13"/>
      </x:c>
      <x:c r="BG161">
        <x:f t="shared" si="14"/>
      </x:c>
      <x:c r="BH161"/>
      <x:c r="BI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>
        <x:f t="shared" si="10"/>
      </x:c>
      <x:c r="T162">
        <x:f t="shared" si="11"/>
      </x:c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>
        <x:f t="shared" si="12"/>
      </x:c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>
        <x:f t="shared" si="13"/>
      </x:c>
      <x:c r="BG162">
        <x:f t="shared" si="14"/>
      </x:c>
      <x:c r="BH162"/>
      <x:c r="BI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>
        <x:f t="shared" si="10"/>
      </x:c>
      <x:c r="T163">
        <x:f t="shared" si="11"/>
      </x:c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>
        <x:f t="shared" si="12"/>
      </x:c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>
        <x:f t="shared" si="13"/>
      </x:c>
      <x:c r="BG163">
        <x:f t="shared" si="14"/>
      </x:c>
      <x:c r="BH163"/>
      <x:c r="BI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>
        <x:f t="shared" si="10"/>
      </x:c>
      <x:c r="T164">
        <x:f t="shared" si="11"/>
      </x:c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>
        <x:f t="shared" si="12"/>
      </x:c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>
        <x:f t="shared" si="13"/>
      </x:c>
      <x:c r="BG164">
        <x:f t="shared" si="14"/>
      </x:c>
      <x:c r="BH164"/>
      <x:c r="BI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>
        <x:f t="shared" si="10"/>
      </x:c>
      <x:c r="T165">
        <x:f t="shared" si="11"/>
      </x:c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>
        <x:f t="shared" si="12"/>
      </x:c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>
        <x:f t="shared" si="13"/>
      </x:c>
      <x:c r="BG165">
        <x:f t="shared" si="14"/>
      </x:c>
      <x:c r="BH165"/>
      <x:c r="BI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>
        <x:f t="shared" si="10"/>
      </x:c>
      <x:c r="T166">
        <x:f t="shared" si="11"/>
      </x:c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>
        <x:f t="shared" si="12"/>
      </x:c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>
        <x:f t="shared" si="13"/>
      </x:c>
      <x:c r="BG166">
        <x:f t="shared" si="14"/>
      </x:c>
      <x:c r="BH166"/>
      <x:c r="BI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>
        <x:f t="shared" si="10"/>
      </x:c>
      <x:c r="T167">
        <x:f t="shared" si="11"/>
      </x:c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>
        <x:f t="shared" si="12"/>
      </x:c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>
        <x:f t="shared" si="13"/>
      </x:c>
      <x:c r="BG167">
        <x:f t="shared" si="14"/>
      </x:c>
      <x:c r="BH167"/>
      <x:c r="BI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>
        <x:f t="shared" si="10"/>
      </x:c>
      <x:c r="T168">
        <x:f t="shared" si="11"/>
      </x:c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>
        <x:f t="shared" si="12"/>
      </x:c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>
        <x:f t="shared" si="13"/>
      </x:c>
      <x:c r="BG168">
        <x:f t="shared" si="14"/>
      </x:c>
      <x:c r="BH168"/>
      <x:c r="BI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>
        <x:f t="shared" si="10"/>
      </x:c>
      <x:c r="T169">
        <x:f t="shared" si="11"/>
      </x:c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>
        <x:f t="shared" si="12"/>
      </x:c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>
        <x:f t="shared" si="13"/>
      </x:c>
      <x:c r="BG169">
        <x:f t="shared" si="14"/>
      </x:c>
      <x:c r="BH169"/>
      <x:c r="BI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>
        <x:f t="shared" si="10"/>
      </x:c>
      <x:c r="T170">
        <x:f t="shared" si="11"/>
      </x:c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>
        <x:f t="shared" si="12"/>
      </x:c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  <x:c r="BF170">
        <x:f t="shared" si="13"/>
      </x:c>
      <x:c r="BG170">
        <x:f t="shared" si="14"/>
      </x:c>
      <x:c r="BH170"/>
      <x:c r="BI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>
        <x:f t="shared" si="10"/>
      </x:c>
      <x:c r="T171">
        <x:f t="shared" si="11"/>
      </x:c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>
        <x:f t="shared" si="12"/>
      </x:c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>
        <x:f t="shared" si="13"/>
      </x:c>
      <x:c r="BG171">
        <x:f t="shared" si="14"/>
      </x:c>
      <x:c r="BH171"/>
      <x:c r="BI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>
        <x:f t="shared" si="10"/>
      </x:c>
      <x:c r="T172">
        <x:f t="shared" si="11"/>
      </x:c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>
        <x:f t="shared" si="12"/>
      </x:c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>
        <x:f t="shared" si="13"/>
      </x:c>
      <x:c r="BG172">
        <x:f t="shared" si="14"/>
      </x:c>
      <x:c r="BH172"/>
      <x:c r="BI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>
        <x:f t="shared" si="10"/>
      </x:c>
      <x:c r="T173">
        <x:f t="shared" si="11"/>
      </x:c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>
        <x:f t="shared" si="12"/>
      </x:c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>
        <x:f t="shared" si="13"/>
      </x:c>
      <x:c r="BG173">
        <x:f t="shared" si="14"/>
      </x:c>
      <x:c r="BH173"/>
      <x:c r="BI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>
        <x:f t="shared" si="10"/>
      </x:c>
      <x:c r="T174">
        <x:f t="shared" si="11"/>
      </x:c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>
        <x:f t="shared" si="12"/>
      </x:c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>
        <x:f t="shared" si="13"/>
      </x:c>
      <x:c r="BG174">
        <x:f t="shared" si="14"/>
      </x:c>
      <x:c r="BH174"/>
      <x:c r="BI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>
        <x:f t="shared" si="10"/>
      </x:c>
      <x:c r="T175">
        <x:f t="shared" si="11"/>
      </x:c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>
        <x:f t="shared" si="12"/>
      </x:c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>
        <x:f t="shared" si="13"/>
      </x:c>
      <x:c r="BG175">
        <x:f t="shared" si="14"/>
      </x:c>
      <x:c r="BH175"/>
      <x:c r="BI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>
        <x:f t="shared" si="10"/>
      </x:c>
      <x:c r="T176">
        <x:f t="shared" si="11"/>
      </x:c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>
        <x:f t="shared" si="12"/>
      </x:c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>
        <x:f t="shared" si="13"/>
      </x:c>
      <x:c r="BG176">
        <x:f t="shared" si="14"/>
      </x:c>
      <x:c r="BH176"/>
      <x:c r="BI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>
        <x:f t="shared" si="10"/>
      </x:c>
      <x:c r="T177">
        <x:f t="shared" si="11"/>
      </x:c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>
        <x:f t="shared" si="12"/>
      </x:c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>
        <x:f t="shared" si="13"/>
      </x:c>
      <x:c r="BG177">
        <x:f t="shared" si="14"/>
      </x:c>
      <x:c r="BH177"/>
      <x:c r="BI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>
        <x:f t="shared" si="10"/>
      </x:c>
      <x:c r="T178">
        <x:f t="shared" si="11"/>
      </x:c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>
        <x:f t="shared" si="12"/>
      </x:c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>
        <x:f t="shared" si="13"/>
      </x:c>
      <x:c r="BG178">
        <x:f t="shared" si="14"/>
      </x:c>
      <x:c r="BH178"/>
      <x:c r="BI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>
        <x:f t="shared" si="10"/>
      </x:c>
      <x:c r="T179">
        <x:f t="shared" si="11"/>
      </x:c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>
        <x:f t="shared" si="12"/>
      </x:c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>
        <x:f t="shared" si="13"/>
      </x:c>
      <x:c r="BG179">
        <x:f t="shared" si="14"/>
      </x:c>
      <x:c r="BH179"/>
      <x:c r="BI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>
        <x:f t="shared" si="10"/>
      </x:c>
      <x:c r="T180">
        <x:f t="shared" si="11"/>
      </x:c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>
        <x:f t="shared" si="12"/>
      </x:c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>
        <x:f t="shared" si="13"/>
      </x:c>
      <x:c r="BG180">
        <x:f t="shared" si="14"/>
      </x:c>
      <x:c r="BH180"/>
      <x:c r="BI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>
        <x:f t="shared" si="10"/>
      </x:c>
      <x:c r="T181">
        <x:f t="shared" si="11"/>
      </x:c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>
        <x:f t="shared" si="12"/>
      </x:c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>
        <x:f t="shared" si="13"/>
      </x:c>
      <x:c r="BG181">
        <x:f t="shared" si="14"/>
      </x:c>
      <x:c r="BH181"/>
      <x:c r="BI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>
        <x:f t="shared" si="10"/>
      </x:c>
      <x:c r="T182">
        <x:f t="shared" si="11"/>
      </x:c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>
        <x:f t="shared" si="12"/>
      </x:c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  <x:c r="BF182">
        <x:f t="shared" si="13"/>
      </x:c>
      <x:c r="BG182">
        <x:f t="shared" si="14"/>
      </x:c>
      <x:c r="BH182"/>
      <x:c r="BI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>
        <x:f t="shared" si="10"/>
      </x:c>
      <x:c r="T183">
        <x:f t="shared" si="11"/>
      </x:c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>
        <x:f t="shared" si="12"/>
      </x:c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>
        <x:f t="shared" si="13"/>
      </x:c>
      <x:c r="BG183">
        <x:f t="shared" si="14"/>
      </x:c>
      <x:c r="BH183"/>
      <x:c r="BI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>
        <x:f t="shared" si="10"/>
      </x:c>
      <x:c r="T184">
        <x:f t="shared" si="11"/>
      </x:c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>
        <x:f t="shared" si="12"/>
      </x:c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>
        <x:f t="shared" si="13"/>
      </x:c>
      <x:c r="BG184">
        <x:f t="shared" si="14"/>
      </x:c>
      <x:c r="BH184"/>
      <x:c r="BI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>
        <x:f t="shared" si="10"/>
      </x:c>
      <x:c r="T185">
        <x:f t="shared" si="11"/>
      </x:c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>
        <x:f t="shared" si="12"/>
      </x:c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>
        <x:f t="shared" si="13"/>
      </x:c>
      <x:c r="BG185">
        <x:f t="shared" si="14"/>
      </x:c>
      <x:c r="BH185"/>
      <x:c r="BI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>
        <x:f t="shared" si="10"/>
      </x:c>
      <x:c r="T186">
        <x:f t="shared" si="11"/>
      </x:c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>
        <x:f t="shared" si="12"/>
      </x:c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>
        <x:f t="shared" si="13"/>
      </x:c>
      <x:c r="BG186">
        <x:f t="shared" si="14"/>
      </x:c>
      <x:c r="BH186"/>
      <x:c r="BI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>
        <x:f t="shared" si="10"/>
      </x:c>
      <x:c r="T187">
        <x:f t="shared" si="11"/>
      </x:c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>
        <x:f t="shared" si="12"/>
      </x:c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>
        <x:f t="shared" si="13"/>
      </x:c>
      <x:c r="BG187">
        <x:f t="shared" si="14"/>
      </x:c>
      <x:c r="BH187"/>
      <x:c r="BI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>
        <x:f t="shared" si="10"/>
      </x:c>
      <x:c r="T188">
        <x:f t="shared" si="11"/>
      </x:c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>
        <x:f t="shared" si="12"/>
      </x:c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  <x:c r="BF188">
        <x:f t="shared" si="13"/>
      </x:c>
      <x:c r="BG188">
        <x:f t="shared" si="14"/>
      </x:c>
      <x:c r="BH188"/>
      <x:c r="BI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>
        <x:f t="shared" si="10"/>
      </x:c>
      <x:c r="T189">
        <x:f t="shared" si="11"/>
      </x:c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>
        <x:f t="shared" si="12"/>
      </x:c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>
        <x:f t="shared" si="13"/>
      </x:c>
      <x:c r="BG189">
        <x:f t="shared" si="14"/>
      </x:c>
      <x:c r="BH189"/>
      <x:c r="BI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>
        <x:f t="shared" si="10"/>
      </x:c>
      <x:c r="T190">
        <x:f t="shared" si="11"/>
      </x:c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>
        <x:f t="shared" si="12"/>
      </x:c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>
        <x:f t="shared" si="13"/>
      </x:c>
      <x:c r="BG190">
        <x:f t="shared" si="14"/>
      </x:c>
      <x:c r="BH190"/>
      <x:c r="BI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>
        <x:f t="shared" si="10"/>
      </x:c>
      <x:c r="T191">
        <x:f t="shared" si="11"/>
      </x:c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>
        <x:f t="shared" si="12"/>
      </x:c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  <x:c r="BF191">
        <x:f t="shared" si="13"/>
      </x:c>
      <x:c r="BG191">
        <x:f t="shared" si="14"/>
      </x:c>
      <x:c r="BH191"/>
      <x:c r="BI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>
        <x:f t="shared" si="10"/>
      </x:c>
      <x:c r="T192">
        <x:f t="shared" si="11"/>
      </x:c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>
        <x:f t="shared" si="12"/>
      </x:c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>
        <x:f t="shared" si="13"/>
      </x:c>
      <x:c r="BG192">
        <x:f t="shared" si="14"/>
      </x:c>
      <x:c r="BH192"/>
      <x:c r="BI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>
        <x:f t="shared" si="10"/>
      </x:c>
      <x:c r="T193">
        <x:f t="shared" si="11"/>
      </x:c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>
        <x:f t="shared" si="12"/>
      </x:c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>
        <x:f t="shared" si="13"/>
      </x:c>
      <x:c r="BG193">
        <x:f t="shared" si="14"/>
      </x:c>
      <x:c r="BH193"/>
      <x:c r="BI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>
        <x:f t="shared" ref="S194:S257" si="15">O194*(R194-P194)/100</x:f>
      </x:c>
      <x:c r="T194">
        <x:f t="shared" ref="T194:T257" si="16">O194*(R194-IF(Q194="",P194,Q194))/100</x:f>
      </x:c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>
        <x:f t="shared" ref="AS194:AS257" si="17">IF(S194=0,100,IFERROR(AR194/S194*100,0))</x:f>
      </x:c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  <x:c r="BF194">
        <x:f t="shared" ref="BF194:BF257" si="18">IF(AK194="Completed","Yes","No")</x:f>
      </x:c>
      <x:c r="BG194">
        <x:f t="shared" ref="BG194:BG257" si="19">IF(AND(BE194="Yes",BF194="Yes"),"Yes","No")</x:f>
      </x:c>
      <x:c r="BH194"/>
      <x:c r="BI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>
        <x:f t="shared" si="15"/>
      </x:c>
      <x:c r="T195">
        <x:f t="shared" si="16"/>
      </x:c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>
        <x:f t="shared" si="17"/>
      </x:c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>
        <x:f t="shared" si="18"/>
      </x:c>
      <x:c r="BG195">
        <x:f t="shared" si="19"/>
      </x:c>
      <x:c r="BH195"/>
      <x:c r="BI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>
        <x:f t="shared" si="15"/>
      </x:c>
      <x:c r="T196">
        <x:f t="shared" si="16"/>
      </x:c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>
        <x:f t="shared" si="17"/>
      </x:c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>
        <x:f t="shared" si="18"/>
      </x:c>
      <x:c r="BG196">
        <x:f t="shared" si="19"/>
      </x:c>
      <x:c r="BH196"/>
      <x:c r="BI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>
        <x:f t="shared" si="15"/>
      </x:c>
      <x:c r="T197">
        <x:f t="shared" si="16"/>
      </x:c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>
        <x:f t="shared" si="17"/>
      </x:c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>
        <x:f t="shared" si="18"/>
      </x:c>
      <x:c r="BG197">
        <x:f t="shared" si="19"/>
      </x:c>
      <x:c r="BH197"/>
      <x:c r="BI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>
        <x:f t="shared" si="15"/>
      </x:c>
      <x:c r="T198">
        <x:f t="shared" si="16"/>
      </x:c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>
        <x:f t="shared" si="17"/>
      </x:c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>
        <x:f t="shared" si="18"/>
      </x:c>
      <x:c r="BG198">
        <x:f t="shared" si="19"/>
      </x:c>
      <x:c r="BH198"/>
      <x:c r="BI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>
        <x:f t="shared" si="15"/>
      </x:c>
      <x:c r="T199">
        <x:f t="shared" si="16"/>
      </x:c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>
        <x:f t="shared" si="17"/>
      </x:c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>
        <x:f t="shared" si="18"/>
      </x:c>
      <x:c r="BG199">
        <x:f t="shared" si="19"/>
      </x:c>
      <x:c r="BH199"/>
      <x:c r="BI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>
        <x:f t="shared" si="15"/>
      </x:c>
      <x:c r="T200">
        <x:f t="shared" si="16"/>
      </x:c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>
        <x:f t="shared" si="17"/>
      </x:c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>
        <x:f t="shared" si="18"/>
      </x:c>
      <x:c r="BG200">
        <x:f t="shared" si="19"/>
      </x:c>
      <x:c r="BH200"/>
      <x:c r="BI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>
        <x:f t="shared" si="15"/>
      </x:c>
      <x:c r="T201">
        <x:f t="shared" si="16"/>
      </x:c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>
        <x:f t="shared" si="17"/>
      </x:c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>
        <x:f t="shared" si="18"/>
      </x:c>
      <x:c r="BG201">
        <x:f t="shared" si="19"/>
      </x:c>
      <x:c r="BH201"/>
      <x:c r="BI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>
        <x:f t="shared" si="15"/>
      </x:c>
      <x:c r="T202">
        <x:f t="shared" si="16"/>
      </x:c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>
        <x:f t="shared" si="17"/>
      </x:c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>
        <x:f t="shared" si="18"/>
      </x:c>
      <x:c r="BG202">
        <x:f t="shared" si="19"/>
      </x:c>
      <x:c r="BH202"/>
      <x:c r="BI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>
        <x:f t="shared" si="15"/>
      </x:c>
      <x:c r="T203">
        <x:f t="shared" si="16"/>
      </x:c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>
        <x:f t="shared" si="17"/>
      </x:c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  <x:c r="BF203">
        <x:f t="shared" si="18"/>
      </x:c>
      <x:c r="BG203">
        <x:f t="shared" si="19"/>
      </x:c>
      <x:c r="BH203"/>
      <x:c r="BI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>
        <x:f t="shared" si="15"/>
      </x:c>
      <x:c r="T204">
        <x:f t="shared" si="16"/>
      </x:c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>
        <x:f t="shared" si="17"/>
      </x:c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>
        <x:f t="shared" si="18"/>
      </x:c>
      <x:c r="BG204">
        <x:f t="shared" si="19"/>
      </x:c>
      <x:c r="BH204"/>
      <x:c r="BI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>
        <x:f t="shared" si="15"/>
      </x:c>
      <x:c r="T205">
        <x:f t="shared" si="16"/>
      </x:c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>
        <x:f t="shared" si="17"/>
      </x:c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>
        <x:f t="shared" si="18"/>
      </x:c>
      <x:c r="BG205">
        <x:f t="shared" si="19"/>
      </x:c>
      <x:c r="BH205"/>
      <x:c r="BI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>
        <x:f t="shared" si="15"/>
      </x:c>
      <x:c r="T206">
        <x:f t="shared" si="16"/>
      </x:c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  <x:c r="AL206"/>
      <x:c r="AM206"/>
      <x:c r="AN206"/>
      <x:c r="AO206"/>
      <x:c r="AP206"/>
      <x:c r="AQ206"/>
      <x:c r="AR206"/>
      <x:c r="AS206">
        <x:f t="shared" si="17"/>
      </x:c>
      <x:c r="AT206"/>
      <x:c r="AU206"/>
      <x:c r="AV206"/>
      <x:c r="AW206"/>
      <x:c r="AX206"/>
      <x:c r="AY206"/>
      <x:c r="AZ206"/>
      <x:c r="BA206"/>
      <x:c r="BB206"/>
      <x:c r="BC206"/>
      <x:c r="BD206"/>
      <x:c r="BE206"/>
      <x:c r="BF206">
        <x:f t="shared" si="18"/>
      </x:c>
      <x:c r="BG206">
        <x:f t="shared" si="19"/>
      </x:c>
      <x:c r="BH206"/>
      <x:c r="BI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>
        <x:f t="shared" si="15"/>
      </x:c>
      <x:c r="T207">
        <x:f t="shared" si="16"/>
      </x:c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  <x:c r="AL207"/>
      <x:c r="AM207"/>
      <x:c r="AN207"/>
      <x:c r="AO207"/>
      <x:c r="AP207"/>
      <x:c r="AQ207"/>
      <x:c r="AR207"/>
      <x:c r="AS207">
        <x:f t="shared" si="17"/>
      </x:c>
      <x:c r="AT207"/>
      <x:c r="AU207"/>
      <x:c r="AV207"/>
      <x:c r="AW207"/>
      <x:c r="AX207"/>
      <x:c r="AY207"/>
      <x:c r="AZ207"/>
      <x:c r="BA207"/>
      <x:c r="BB207"/>
      <x:c r="BC207"/>
      <x:c r="BD207"/>
      <x:c r="BE207"/>
      <x:c r="BF207">
        <x:f t="shared" si="18"/>
      </x:c>
      <x:c r="BG207">
        <x:f t="shared" si="19"/>
      </x:c>
      <x:c r="BH207"/>
      <x:c r="BI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>
        <x:f t="shared" si="15"/>
      </x:c>
      <x:c r="T208">
        <x:f t="shared" si="16"/>
      </x:c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>
        <x:f t="shared" si="17"/>
      </x:c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>
        <x:f t="shared" si="18"/>
      </x:c>
      <x:c r="BG208">
        <x:f t="shared" si="19"/>
      </x:c>
      <x:c r="BH208"/>
      <x:c r="BI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>
        <x:f t="shared" si="15"/>
      </x:c>
      <x:c r="T209">
        <x:f t="shared" si="16"/>
      </x:c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/>
      <x:c r="AN209"/>
      <x:c r="AO209"/>
      <x:c r="AP209"/>
      <x:c r="AQ209"/>
      <x:c r="AR209"/>
      <x:c r="AS209">
        <x:f t="shared" si="17"/>
      </x:c>
      <x:c r="AT209"/>
      <x:c r="AU209"/>
      <x:c r="AV209"/>
      <x:c r="AW209"/>
      <x:c r="AX209"/>
      <x:c r="AY209"/>
      <x:c r="AZ209"/>
      <x:c r="BA209"/>
      <x:c r="BB209"/>
      <x:c r="BC209"/>
      <x:c r="BD209"/>
      <x:c r="BE209"/>
      <x:c r="BF209">
        <x:f t="shared" si="18"/>
      </x:c>
      <x:c r="BG209">
        <x:f t="shared" si="19"/>
      </x:c>
      <x:c r="BH209"/>
      <x:c r="BI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>
        <x:f t="shared" si="15"/>
      </x:c>
      <x:c r="T210">
        <x:f t="shared" si="16"/>
      </x:c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>
        <x:f t="shared" si="17"/>
      </x:c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>
        <x:f t="shared" si="18"/>
      </x:c>
      <x:c r="BG210">
        <x:f t="shared" si="19"/>
      </x:c>
      <x:c r="BH210"/>
      <x:c r="BI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>
        <x:f t="shared" si="15"/>
      </x:c>
      <x:c r="T211">
        <x:f t="shared" si="16"/>
      </x:c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>
        <x:f t="shared" si="17"/>
      </x:c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>
        <x:f t="shared" si="18"/>
      </x:c>
      <x:c r="BG211">
        <x:f t="shared" si="19"/>
      </x:c>
      <x:c r="BH211"/>
      <x:c r="BI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>
        <x:f t="shared" si="15"/>
      </x:c>
      <x:c r="T212">
        <x:f t="shared" si="16"/>
      </x:c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>
        <x:f t="shared" si="17"/>
      </x:c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>
        <x:f t="shared" si="18"/>
      </x:c>
      <x:c r="BG212">
        <x:f t="shared" si="19"/>
      </x:c>
      <x:c r="BH212"/>
      <x:c r="BI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>
        <x:f t="shared" si="15"/>
      </x:c>
      <x:c r="T213">
        <x:f t="shared" si="16"/>
      </x:c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>
        <x:f t="shared" si="17"/>
      </x:c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>
        <x:f t="shared" si="18"/>
      </x:c>
      <x:c r="BG213">
        <x:f t="shared" si="19"/>
      </x:c>
      <x:c r="BH213"/>
      <x:c r="BI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>
        <x:f t="shared" si="15"/>
      </x:c>
      <x:c r="T214">
        <x:f t="shared" si="16"/>
      </x:c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  <x:c r="AN214"/>
      <x:c r="AO214"/>
      <x:c r="AP214"/>
      <x:c r="AQ214"/>
      <x:c r="AR214"/>
      <x:c r="AS214">
        <x:f t="shared" si="17"/>
      </x:c>
      <x:c r="AT214"/>
      <x:c r="AU214"/>
      <x:c r="AV214"/>
      <x:c r="AW214"/>
      <x:c r="AX214"/>
      <x:c r="AY214"/>
      <x:c r="AZ214"/>
      <x:c r="BA214"/>
      <x:c r="BB214"/>
      <x:c r="BC214"/>
      <x:c r="BD214"/>
      <x:c r="BE214"/>
      <x:c r="BF214">
        <x:f t="shared" si="18"/>
      </x:c>
      <x:c r="BG214">
        <x:f t="shared" si="19"/>
      </x:c>
      <x:c r="BH214"/>
      <x:c r="BI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>
        <x:f t="shared" si="15"/>
      </x:c>
      <x:c r="T215">
        <x:f t="shared" si="16"/>
      </x:c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/>
      <x:c r="AS215">
        <x:f t="shared" si="17"/>
      </x:c>
      <x:c r="AT215"/>
      <x:c r="AU215"/>
      <x:c r="AV215"/>
      <x:c r="AW215"/>
      <x:c r="AX215"/>
      <x:c r="AY215"/>
      <x:c r="AZ215"/>
      <x:c r="BA215"/>
      <x:c r="BB215"/>
      <x:c r="BC215"/>
      <x:c r="BD215"/>
      <x:c r="BE215"/>
      <x:c r="BF215">
        <x:f t="shared" si="18"/>
      </x:c>
      <x:c r="BG215">
        <x:f t="shared" si="19"/>
      </x:c>
      <x:c r="BH215"/>
      <x:c r="BI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>
        <x:f t="shared" si="15"/>
      </x:c>
      <x:c r="T216">
        <x:f t="shared" si="16"/>
      </x:c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>
        <x:f t="shared" si="17"/>
      </x:c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>
        <x:f t="shared" si="18"/>
      </x:c>
      <x:c r="BG216">
        <x:f t="shared" si="19"/>
      </x:c>
      <x:c r="BH216"/>
      <x:c r="BI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>
        <x:f t="shared" si="15"/>
      </x:c>
      <x:c r="T217">
        <x:f t="shared" si="16"/>
      </x:c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>
        <x:f t="shared" si="17"/>
      </x:c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>
        <x:f t="shared" si="18"/>
      </x:c>
      <x:c r="BG217">
        <x:f t="shared" si="19"/>
      </x:c>
      <x:c r="BH217"/>
      <x:c r="BI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>
        <x:f t="shared" si="15"/>
      </x:c>
      <x:c r="T218">
        <x:f t="shared" si="16"/>
      </x:c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  <x:c r="AL218"/>
      <x:c r="AM218"/>
      <x:c r="AN218"/>
      <x:c r="AO218"/>
      <x:c r="AP218"/>
      <x:c r="AQ218"/>
      <x:c r="AR218"/>
      <x:c r="AS218">
        <x:f t="shared" si="17"/>
      </x:c>
      <x:c r="AT218"/>
      <x:c r="AU218"/>
      <x:c r="AV218"/>
      <x:c r="AW218"/>
      <x:c r="AX218"/>
      <x:c r="AY218"/>
      <x:c r="AZ218"/>
      <x:c r="BA218"/>
      <x:c r="BB218"/>
      <x:c r="BC218"/>
      <x:c r="BD218"/>
      <x:c r="BE218"/>
      <x:c r="BF218">
        <x:f t="shared" si="18"/>
      </x:c>
      <x:c r="BG218">
        <x:f t="shared" si="19"/>
      </x:c>
      <x:c r="BH218"/>
      <x:c r="BI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>
        <x:f t="shared" si="15"/>
      </x:c>
      <x:c r="T219">
        <x:f t="shared" si="16"/>
      </x:c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  <x:c r="AL219"/>
      <x:c r="AM219"/>
      <x:c r="AN219"/>
      <x:c r="AO219"/>
      <x:c r="AP219"/>
      <x:c r="AQ219"/>
      <x:c r="AR219"/>
      <x:c r="AS219">
        <x:f t="shared" si="17"/>
      </x:c>
      <x:c r="AT219"/>
      <x:c r="AU219"/>
      <x:c r="AV219"/>
      <x:c r="AW219"/>
      <x:c r="AX219"/>
      <x:c r="AY219"/>
      <x:c r="AZ219"/>
      <x:c r="BA219"/>
      <x:c r="BB219"/>
      <x:c r="BC219"/>
      <x:c r="BD219"/>
      <x:c r="BE219"/>
      <x:c r="BF219">
        <x:f t="shared" si="18"/>
      </x:c>
      <x:c r="BG219">
        <x:f t="shared" si="19"/>
      </x:c>
      <x:c r="BH219"/>
      <x:c r="BI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>
        <x:f t="shared" si="15"/>
      </x:c>
      <x:c r="T220">
        <x:f t="shared" si="16"/>
      </x:c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  <x:c r="AL220"/>
      <x:c r="AM220"/>
      <x:c r="AN220"/>
      <x:c r="AO220"/>
      <x:c r="AP220"/>
      <x:c r="AQ220"/>
      <x:c r="AR220"/>
      <x:c r="AS220">
        <x:f t="shared" si="17"/>
      </x:c>
      <x:c r="AT220"/>
      <x:c r="AU220"/>
      <x:c r="AV220"/>
      <x:c r="AW220"/>
      <x:c r="AX220"/>
      <x:c r="AY220"/>
      <x:c r="AZ220"/>
      <x:c r="BA220"/>
      <x:c r="BB220"/>
      <x:c r="BC220"/>
      <x:c r="BD220"/>
      <x:c r="BE220"/>
      <x:c r="BF220">
        <x:f t="shared" si="18"/>
      </x:c>
      <x:c r="BG220">
        <x:f t="shared" si="19"/>
      </x:c>
      <x:c r="BH220"/>
      <x:c r="BI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>
        <x:f t="shared" si="15"/>
      </x:c>
      <x:c r="T221">
        <x:f t="shared" si="16"/>
      </x:c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>
        <x:f t="shared" si="17"/>
      </x:c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>
        <x:f t="shared" si="18"/>
      </x:c>
      <x:c r="BG221">
        <x:f t="shared" si="19"/>
      </x:c>
      <x:c r="BH221"/>
      <x:c r="BI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>
        <x:f t="shared" si="15"/>
      </x:c>
      <x:c r="T222">
        <x:f t="shared" si="16"/>
      </x:c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>
        <x:f t="shared" si="17"/>
      </x:c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>
        <x:f t="shared" si="18"/>
      </x:c>
      <x:c r="BG222">
        <x:f t="shared" si="19"/>
      </x:c>
      <x:c r="BH222"/>
      <x:c r="BI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>
        <x:f t="shared" si="15"/>
      </x:c>
      <x:c r="T223">
        <x:f t="shared" si="16"/>
      </x:c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  <x:c r="AL223"/>
      <x:c r="AM223"/>
      <x:c r="AN223"/>
      <x:c r="AO223"/>
      <x:c r="AP223"/>
      <x:c r="AQ223"/>
      <x:c r="AR223"/>
      <x:c r="AS223">
        <x:f t="shared" si="17"/>
      </x:c>
      <x:c r="AT223"/>
      <x:c r="AU223"/>
      <x:c r="AV223"/>
      <x:c r="AW223"/>
      <x:c r="AX223"/>
      <x:c r="AY223"/>
      <x:c r="AZ223"/>
      <x:c r="BA223"/>
      <x:c r="BB223"/>
      <x:c r="BC223"/>
      <x:c r="BD223"/>
      <x:c r="BE223"/>
      <x:c r="BF223">
        <x:f t="shared" si="18"/>
      </x:c>
      <x:c r="BG223">
        <x:f t="shared" si="19"/>
      </x:c>
      <x:c r="BH223"/>
      <x:c r="BI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>
        <x:f t="shared" si="15"/>
      </x:c>
      <x:c r="T224">
        <x:f t="shared" si="16"/>
      </x:c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/>
      <x:c r="AN224"/>
      <x:c r="AO224"/>
      <x:c r="AP224"/>
      <x:c r="AQ224"/>
      <x:c r="AR224"/>
      <x:c r="AS224">
        <x:f t="shared" si="17"/>
      </x:c>
      <x:c r="AT224"/>
      <x:c r="AU224"/>
      <x:c r="AV224"/>
      <x:c r="AW224"/>
      <x:c r="AX224"/>
      <x:c r="AY224"/>
      <x:c r="AZ224"/>
      <x:c r="BA224"/>
      <x:c r="BB224"/>
      <x:c r="BC224"/>
      <x:c r="BD224"/>
      <x:c r="BE224"/>
      <x:c r="BF224">
        <x:f t="shared" si="18"/>
      </x:c>
      <x:c r="BG224">
        <x:f t="shared" si="19"/>
      </x:c>
      <x:c r="BH224"/>
      <x:c r="BI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>
        <x:f t="shared" si="15"/>
      </x:c>
      <x:c r="T225">
        <x:f t="shared" si="16"/>
      </x:c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>
        <x:f t="shared" si="17"/>
      </x:c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>
        <x:f t="shared" si="18"/>
      </x:c>
      <x:c r="BG225">
        <x:f t="shared" si="19"/>
      </x:c>
      <x:c r="BH225"/>
      <x:c r="BI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>
        <x:f t="shared" si="15"/>
      </x:c>
      <x:c r="T226">
        <x:f t="shared" si="16"/>
      </x:c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>
        <x:f t="shared" si="17"/>
      </x:c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>
        <x:f t="shared" si="18"/>
      </x:c>
      <x:c r="BG226">
        <x:f t="shared" si="19"/>
      </x:c>
      <x:c r="BH226"/>
      <x:c r="BI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>
        <x:f t="shared" si="15"/>
      </x:c>
      <x:c r="T227">
        <x:f t="shared" si="16"/>
      </x:c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/>
      <x:c r="AN227"/>
      <x:c r="AO227"/>
      <x:c r="AP227"/>
      <x:c r="AQ227"/>
      <x:c r="AR227"/>
      <x:c r="AS227">
        <x:f t="shared" si="17"/>
      </x:c>
      <x:c r="AT227"/>
      <x:c r="AU227"/>
      <x:c r="AV227"/>
      <x:c r="AW227"/>
      <x:c r="AX227"/>
      <x:c r="AY227"/>
      <x:c r="AZ227"/>
      <x:c r="BA227"/>
      <x:c r="BB227"/>
      <x:c r="BC227"/>
      <x:c r="BD227"/>
      <x:c r="BE227"/>
      <x:c r="BF227">
        <x:f t="shared" si="18"/>
      </x:c>
      <x:c r="BG227">
        <x:f t="shared" si="19"/>
      </x:c>
      <x:c r="BH227"/>
      <x:c r="BI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>
        <x:f t="shared" si="15"/>
      </x:c>
      <x:c r="T228">
        <x:f t="shared" si="16"/>
      </x:c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  <x:c r="AN228"/>
      <x:c r="AO228"/>
      <x:c r="AP228"/>
      <x:c r="AQ228"/>
      <x:c r="AR228"/>
      <x:c r="AS228">
        <x:f t="shared" si="17"/>
      </x:c>
      <x:c r="AT228"/>
      <x:c r="AU228"/>
      <x:c r="AV228"/>
      <x:c r="AW228"/>
      <x:c r="AX228"/>
      <x:c r="AY228"/>
      <x:c r="AZ228"/>
      <x:c r="BA228"/>
      <x:c r="BB228"/>
      <x:c r="BC228"/>
      <x:c r="BD228"/>
      <x:c r="BE228"/>
      <x:c r="BF228">
        <x:f t="shared" si="18"/>
      </x:c>
      <x:c r="BG228">
        <x:f t="shared" si="19"/>
      </x:c>
      <x:c r="BH228"/>
      <x:c r="BI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>
        <x:f t="shared" si="15"/>
      </x:c>
      <x:c r="T229">
        <x:f t="shared" si="16"/>
      </x:c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>
        <x:f t="shared" si="17"/>
      </x:c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>
        <x:f t="shared" si="18"/>
      </x:c>
      <x:c r="BG229">
        <x:f t="shared" si="19"/>
      </x:c>
      <x:c r="BH229"/>
      <x:c r="BI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>
        <x:f t="shared" si="15"/>
      </x:c>
      <x:c r="T230">
        <x:f t="shared" si="16"/>
      </x:c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>
        <x:f t="shared" si="17"/>
      </x:c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>
        <x:f t="shared" si="18"/>
      </x:c>
      <x:c r="BG230">
        <x:f t="shared" si="19"/>
      </x:c>
      <x:c r="BH230"/>
      <x:c r="BI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>
        <x:f t="shared" si="15"/>
      </x:c>
      <x:c r="T231">
        <x:f t="shared" si="16"/>
      </x:c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  <x:c r="AN231"/>
      <x:c r="AO231"/>
      <x:c r="AP231"/>
      <x:c r="AQ231"/>
      <x:c r="AR231"/>
      <x:c r="AS231">
        <x:f t="shared" si="17"/>
      </x:c>
      <x:c r="AT231"/>
      <x:c r="AU231"/>
      <x:c r="AV231"/>
      <x:c r="AW231"/>
      <x:c r="AX231"/>
      <x:c r="AY231"/>
      <x:c r="AZ231"/>
      <x:c r="BA231"/>
      <x:c r="BB231"/>
      <x:c r="BC231"/>
      <x:c r="BD231"/>
      <x:c r="BE231"/>
      <x:c r="BF231">
        <x:f t="shared" si="18"/>
      </x:c>
      <x:c r="BG231">
        <x:f t="shared" si="19"/>
      </x:c>
      <x:c r="BH231"/>
      <x:c r="BI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>
        <x:f t="shared" si="15"/>
      </x:c>
      <x:c r="T232">
        <x:f t="shared" si="16"/>
      </x:c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  <x:c r="AN232"/>
      <x:c r="AO232"/>
      <x:c r="AP232"/>
      <x:c r="AQ232"/>
      <x:c r="AR232"/>
      <x:c r="AS232">
        <x:f t="shared" si="17"/>
      </x:c>
      <x:c r="AT232"/>
      <x:c r="AU232"/>
      <x:c r="AV232"/>
      <x:c r="AW232"/>
      <x:c r="AX232"/>
      <x:c r="AY232"/>
      <x:c r="AZ232"/>
      <x:c r="BA232"/>
      <x:c r="BB232"/>
      <x:c r="BC232"/>
      <x:c r="BD232"/>
      <x:c r="BE232"/>
      <x:c r="BF232">
        <x:f t="shared" si="18"/>
      </x:c>
      <x:c r="BG232">
        <x:f t="shared" si="19"/>
      </x:c>
      <x:c r="BH232"/>
      <x:c r="BI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>
        <x:f t="shared" si="15"/>
      </x:c>
      <x:c r="T233">
        <x:f t="shared" si="16"/>
      </x:c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>
        <x:f t="shared" si="17"/>
      </x:c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>
        <x:f t="shared" si="18"/>
      </x:c>
      <x:c r="BG233">
        <x:f t="shared" si="19"/>
      </x:c>
      <x:c r="BH233"/>
      <x:c r="BI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>
        <x:f t="shared" si="15"/>
      </x:c>
      <x:c r="T234">
        <x:f t="shared" si="16"/>
      </x:c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>
        <x:f t="shared" si="17"/>
      </x:c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>
        <x:f t="shared" si="18"/>
      </x:c>
      <x:c r="BG234">
        <x:f t="shared" si="19"/>
      </x:c>
      <x:c r="BH234"/>
      <x:c r="BI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>
        <x:f t="shared" si="15"/>
      </x:c>
      <x:c r="T235">
        <x:f t="shared" si="16"/>
      </x:c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>
        <x:f t="shared" si="17"/>
      </x:c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>
        <x:f t="shared" si="18"/>
      </x:c>
      <x:c r="BG235">
        <x:f t="shared" si="19"/>
      </x:c>
      <x:c r="BH235"/>
      <x:c r="BI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>
        <x:f t="shared" si="15"/>
      </x:c>
      <x:c r="T236">
        <x:f t="shared" si="16"/>
      </x:c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  <x:c r="AP236"/>
      <x:c r="AQ236"/>
      <x:c r="AR236"/>
      <x:c r="AS236">
        <x:f t="shared" si="17"/>
      </x:c>
      <x:c r="AT236"/>
      <x:c r="AU236"/>
      <x:c r="AV236"/>
      <x:c r="AW236"/>
      <x:c r="AX236"/>
      <x:c r="AY236"/>
      <x:c r="AZ236"/>
      <x:c r="BA236"/>
      <x:c r="BB236"/>
      <x:c r="BC236"/>
      <x:c r="BD236"/>
      <x:c r="BE236"/>
      <x:c r="BF236">
        <x:f t="shared" si="18"/>
      </x:c>
      <x:c r="BG236">
        <x:f t="shared" si="19"/>
      </x:c>
      <x:c r="BH236"/>
      <x:c r="BI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>
        <x:f t="shared" si="15"/>
      </x:c>
      <x:c r="T237">
        <x:f t="shared" si="16"/>
      </x:c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>
        <x:f t="shared" si="17"/>
      </x:c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>
        <x:f t="shared" si="18"/>
      </x:c>
      <x:c r="BG237">
        <x:f t="shared" si="19"/>
      </x:c>
      <x:c r="BH237"/>
      <x:c r="BI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>
        <x:f t="shared" si="15"/>
      </x:c>
      <x:c r="T238">
        <x:f t="shared" si="16"/>
      </x:c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  <x:c r="AN238"/>
      <x:c r="AO238"/>
      <x:c r="AP238"/>
      <x:c r="AQ238"/>
      <x:c r="AR238"/>
      <x:c r="AS238">
        <x:f t="shared" si="17"/>
      </x:c>
      <x:c r="AT238"/>
      <x:c r="AU238"/>
      <x:c r="AV238"/>
      <x:c r="AW238"/>
      <x:c r="AX238"/>
      <x:c r="AY238"/>
      <x:c r="AZ238"/>
      <x:c r="BA238"/>
      <x:c r="BB238"/>
      <x:c r="BC238"/>
      <x:c r="BD238"/>
      <x:c r="BE238"/>
      <x:c r="BF238">
        <x:f t="shared" si="18"/>
      </x:c>
      <x:c r="BG238">
        <x:f t="shared" si="19"/>
      </x:c>
      <x:c r="BH238"/>
      <x:c r="BI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>
        <x:f t="shared" si="15"/>
      </x:c>
      <x:c r="T239">
        <x:f t="shared" si="16"/>
      </x:c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/>
      <x:c r="AN239"/>
      <x:c r="AO239"/>
      <x:c r="AP239"/>
      <x:c r="AQ239"/>
      <x:c r="AR239"/>
      <x:c r="AS239">
        <x:f t="shared" si="17"/>
      </x:c>
      <x:c r="AT239"/>
      <x:c r="AU239"/>
      <x:c r="AV239"/>
      <x:c r="AW239"/>
      <x:c r="AX239"/>
      <x:c r="AY239"/>
      <x:c r="AZ239"/>
      <x:c r="BA239"/>
      <x:c r="BB239"/>
      <x:c r="BC239"/>
      <x:c r="BD239"/>
      <x:c r="BE239"/>
      <x:c r="BF239">
        <x:f t="shared" si="18"/>
      </x:c>
      <x:c r="BG239">
        <x:f t="shared" si="19"/>
      </x:c>
      <x:c r="BH239"/>
      <x:c r="BI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>
        <x:f t="shared" si="15"/>
      </x:c>
      <x:c r="T240">
        <x:f t="shared" si="16"/>
      </x:c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>
        <x:f t="shared" si="17"/>
      </x:c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>
        <x:f t="shared" si="18"/>
      </x:c>
      <x:c r="BG240">
        <x:f t="shared" si="19"/>
      </x:c>
      <x:c r="BH240"/>
      <x:c r="BI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>
        <x:f t="shared" si="15"/>
      </x:c>
      <x:c r="T241">
        <x:f t="shared" si="16"/>
      </x:c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>
        <x:f t="shared" si="17"/>
      </x:c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>
        <x:f t="shared" si="18"/>
      </x:c>
      <x:c r="BG241">
        <x:f t="shared" si="19"/>
      </x:c>
      <x:c r="BH241"/>
      <x:c r="BI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>
        <x:f t="shared" si="15"/>
      </x:c>
      <x:c r="T242">
        <x:f t="shared" si="16"/>
      </x:c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>
        <x:f t="shared" si="17"/>
      </x:c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>
        <x:f t="shared" si="18"/>
      </x:c>
      <x:c r="BG242">
        <x:f t="shared" si="19"/>
      </x:c>
      <x:c r="BH242"/>
      <x:c r="BI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>
        <x:f t="shared" si="15"/>
      </x:c>
      <x:c r="T243">
        <x:f t="shared" si="16"/>
      </x:c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>
        <x:f t="shared" si="17"/>
      </x:c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>
        <x:f t="shared" si="18"/>
      </x:c>
      <x:c r="BG243">
        <x:f t="shared" si="19"/>
      </x:c>
      <x:c r="BH243"/>
      <x:c r="BI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>
        <x:f t="shared" si="15"/>
      </x:c>
      <x:c r="T244">
        <x:f t="shared" si="16"/>
      </x:c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/>
      <x:c r="AR244"/>
      <x:c r="AS244">
        <x:f t="shared" si="17"/>
      </x:c>
      <x:c r="AT244"/>
      <x:c r="AU244"/>
      <x:c r="AV244"/>
      <x:c r="AW244"/>
      <x:c r="AX244"/>
      <x:c r="AY244"/>
      <x:c r="AZ244"/>
      <x:c r="BA244"/>
      <x:c r="BB244"/>
      <x:c r="BC244"/>
      <x:c r="BD244"/>
      <x:c r="BE244"/>
      <x:c r="BF244">
        <x:f t="shared" si="18"/>
      </x:c>
      <x:c r="BG244">
        <x:f t="shared" si="19"/>
      </x:c>
      <x:c r="BH244"/>
      <x:c r="BI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>
        <x:f t="shared" si="15"/>
      </x:c>
      <x:c r="T245">
        <x:f t="shared" si="16"/>
      </x:c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>
        <x:f t="shared" si="17"/>
      </x:c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>
        <x:f t="shared" si="18"/>
      </x:c>
      <x:c r="BG245">
        <x:f t="shared" si="19"/>
      </x:c>
      <x:c r="BH245"/>
      <x:c r="BI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>
        <x:f t="shared" si="15"/>
      </x:c>
      <x:c r="T246">
        <x:f t="shared" si="16"/>
      </x:c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>
        <x:f t="shared" si="17"/>
      </x:c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>
        <x:f t="shared" si="18"/>
      </x:c>
      <x:c r="BG246">
        <x:f t="shared" si="19"/>
      </x:c>
      <x:c r="BH246"/>
      <x:c r="BI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>
        <x:f t="shared" si="15"/>
      </x:c>
      <x:c r="T247">
        <x:f t="shared" si="16"/>
      </x:c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/>
      <x:c r="AO247"/>
      <x:c r="AP247"/>
      <x:c r="AQ247"/>
      <x:c r="AR247"/>
      <x:c r="AS247">
        <x:f t="shared" si="17"/>
      </x:c>
      <x:c r="AT247"/>
      <x:c r="AU247"/>
      <x:c r="AV247"/>
      <x:c r="AW247"/>
      <x:c r="AX247"/>
      <x:c r="AY247"/>
      <x:c r="AZ247"/>
      <x:c r="BA247"/>
      <x:c r="BB247"/>
      <x:c r="BC247"/>
      <x:c r="BD247"/>
      <x:c r="BE247"/>
      <x:c r="BF247">
        <x:f t="shared" si="18"/>
      </x:c>
      <x:c r="BG247">
        <x:f t="shared" si="19"/>
      </x:c>
      <x:c r="BH247"/>
      <x:c r="BI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>
        <x:f t="shared" si="15"/>
      </x:c>
      <x:c r="T248">
        <x:f t="shared" si="16"/>
      </x:c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/>
      <x:c r="AN248"/>
      <x:c r="AO248"/>
      <x:c r="AP248"/>
      <x:c r="AQ248"/>
      <x:c r="AR248"/>
      <x:c r="AS248">
        <x:f t="shared" si="17"/>
      </x:c>
      <x:c r="AT248"/>
      <x:c r="AU248"/>
      <x:c r="AV248"/>
      <x:c r="AW248"/>
      <x:c r="AX248"/>
      <x:c r="AY248"/>
      <x:c r="AZ248"/>
      <x:c r="BA248"/>
      <x:c r="BB248"/>
      <x:c r="BC248"/>
      <x:c r="BD248"/>
      <x:c r="BE248"/>
      <x:c r="BF248">
        <x:f t="shared" si="18"/>
      </x:c>
      <x:c r="BG248">
        <x:f t="shared" si="19"/>
      </x:c>
      <x:c r="BH248"/>
      <x:c r="BI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>
        <x:f t="shared" si="15"/>
      </x:c>
      <x:c r="T249">
        <x:f t="shared" si="16"/>
      </x:c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>
        <x:f t="shared" si="17"/>
      </x:c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>
        <x:f t="shared" si="18"/>
      </x:c>
      <x:c r="BG249">
        <x:f t="shared" si="19"/>
      </x:c>
      <x:c r="BH249"/>
      <x:c r="BI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>
        <x:f t="shared" si="15"/>
      </x:c>
      <x:c r="T250">
        <x:f t="shared" si="16"/>
      </x:c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  <x:c r="AN250"/>
      <x:c r="AO250"/>
      <x:c r="AP250"/>
      <x:c r="AQ250"/>
      <x:c r="AR250"/>
      <x:c r="AS250">
        <x:f t="shared" si="17"/>
      </x:c>
      <x:c r="AT250"/>
      <x:c r="AU250"/>
      <x:c r="AV250"/>
      <x:c r="AW250"/>
      <x:c r="AX250"/>
      <x:c r="AY250"/>
      <x:c r="AZ250"/>
      <x:c r="BA250"/>
      <x:c r="BB250"/>
      <x:c r="BC250"/>
      <x:c r="BD250"/>
      <x:c r="BE250"/>
      <x:c r="BF250">
        <x:f t="shared" si="18"/>
      </x:c>
      <x:c r="BG250">
        <x:f t="shared" si="19"/>
      </x:c>
      <x:c r="BH250"/>
      <x:c r="BI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>
        <x:f t="shared" si="15"/>
      </x:c>
      <x:c r="T251">
        <x:f t="shared" si="16"/>
      </x:c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/>
      <x:c r="AN251"/>
      <x:c r="AO251"/>
      <x:c r="AP251"/>
      <x:c r="AQ251"/>
      <x:c r="AR251"/>
      <x:c r="AS251">
        <x:f t="shared" si="17"/>
      </x:c>
      <x:c r="AT251"/>
      <x:c r="AU251"/>
      <x:c r="AV251"/>
      <x:c r="AW251"/>
      <x:c r="AX251"/>
      <x:c r="AY251"/>
      <x:c r="AZ251"/>
      <x:c r="BA251"/>
      <x:c r="BB251"/>
      <x:c r="BC251"/>
      <x:c r="BD251"/>
      <x:c r="BE251"/>
      <x:c r="BF251">
        <x:f t="shared" si="18"/>
      </x:c>
      <x:c r="BG251">
        <x:f t="shared" si="19"/>
      </x:c>
      <x:c r="BH251"/>
      <x:c r="BI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>
        <x:f t="shared" si="15"/>
      </x:c>
      <x:c r="T252">
        <x:f t="shared" si="16"/>
      </x:c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>
        <x:f t="shared" si="17"/>
      </x:c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>
        <x:f t="shared" si="18"/>
      </x:c>
      <x:c r="BG252">
        <x:f t="shared" si="19"/>
      </x:c>
      <x:c r="BH252"/>
      <x:c r="BI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>
        <x:f t="shared" si="15"/>
      </x:c>
      <x:c r="T253">
        <x:f t="shared" si="16"/>
      </x:c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>
        <x:f t="shared" si="17"/>
      </x:c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>
        <x:f t="shared" si="18"/>
      </x:c>
      <x:c r="BG253">
        <x:f t="shared" si="19"/>
      </x:c>
      <x:c r="BH253"/>
      <x:c r="BI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>
        <x:f t="shared" si="15"/>
      </x:c>
      <x:c r="T254">
        <x:f t="shared" si="16"/>
      </x:c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>
        <x:f t="shared" si="17"/>
      </x:c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>
        <x:f t="shared" si="18"/>
      </x:c>
      <x:c r="BG254">
        <x:f t="shared" si="19"/>
      </x:c>
      <x:c r="BH254"/>
      <x:c r="BI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>
        <x:f t="shared" si="15"/>
      </x:c>
      <x:c r="T255">
        <x:f t="shared" si="16"/>
      </x:c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>
        <x:f t="shared" si="17"/>
      </x:c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>
        <x:f t="shared" si="18"/>
      </x:c>
      <x:c r="BG255">
        <x:f t="shared" si="19"/>
      </x:c>
      <x:c r="BH255"/>
      <x:c r="BI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>
        <x:f t="shared" si="15"/>
      </x:c>
      <x:c r="T256">
        <x:f t="shared" si="16"/>
      </x:c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>
        <x:f t="shared" si="17"/>
      </x:c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>
        <x:f t="shared" si="18"/>
      </x:c>
      <x:c r="BG256">
        <x:f t="shared" si="19"/>
      </x:c>
      <x:c r="BH256"/>
      <x:c r="BI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>
        <x:f t="shared" si="15"/>
      </x:c>
      <x:c r="T257">
        <x:f t="shared" si="16"/>
      </x:c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>
        <x:f t="shared" si="17"/>
      </x:c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>
        <x:f t="shared" si="18"/>
      </x:c>
      <x:c r="BG257">
        <x:f t="shared" si="19"/>
      </x:c>
      <x:c r="BH257"/>
      <x:c r="BI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>
        <x:f t="shared" ref="S258:S278" si="20">O258*(R258-P258)/100</x:f>
      </x:c>
      <x:c r="T258">
        <x:f t="shared" ref="T258:T278" si="21">O258*(R258-IF(Q258="",P258,Q258))/100</x:f>
      </x:c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>
        <x:f t="shared" ref="AS258:AS278" si="22">IF(S258=0,100,IFERROR(AR258/S258*100,0))</x:f>
      </x:c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>
        <x:f t="shared" ref="BF258:BF278" si="23">IF(AK258="Completed","Yes","No")</x:f>
      </x:c>
      <x:c r="BG258">
        <x:f t="shared" ref="BG258:BG278" si="24">IF(AND(BE258="Yes",BF258="Yes"),"Yes","No")</x:f>
      </x:c>
      <x:c r="BH258"/>
      <x:c r="BI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>
        <x:f t="shared" si="20"/>
      </x:c>
      <x:c r="T259">
        <x:f t="shared" si="21"/>
      </x:c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  <x:c r="AL259"/>
      <x:c r="AM259"/>
      <x:c r="AN259"/>
      <x:c r="AO259"/>
      <x:c r="AP259"/>
      <x:c r="AQ259"/>
      <x:c r="AR259"/>
      <x:c r="AS259">
        <x:f t="shared" si="22"/>
      </x:c>
      <x:c r="AT259"/>
      <x:c r="AU259"/>
      <x:c r="AV259"/>
      <x:c r="AW259"/>
      <x:c r="AX259"/>
      <x:c r="AY259"/>
      <x:c r="AZ259"/>
      <x:c r="BA259"/>
      <x:c r="BB259"/>
      <x:c r="BC259"/>
      <x:c r="BD259"/>
      <x:c r="BE259"/>
      <x:c r="BF259">
        <x:f t="shared" si="23"/>
      </x:c>
      <x:c r="BG259">
        <x:f t="shared" si="24"/>
      </x:c>
      <x:c r="BH259"/>
      <x:c r="BI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>
        <x:f t="shared" si="20"/>
      </x:c>
      <x:c r="T260">
        <x:f t="shared" si="21"/>
      </x:c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  <x:c r="AL260"/>
      <x:c r="AM260"/>
      <x:c r="AN260"/>
      <x:c r="AO260"/>
      <x:c r="AP260"/>
      <x:c r="AQ260"/>
      <x:c r="AR260"/>
      <x:c r="AS260">
        <x:f t="shared" si="22"/>
      </x:c>
      <x:c r="AT260"/>
      <x:c r="AU260"/>
      <x:c r="AV260"/>
      <x:c r="AW260"/>
      <x:c r="AX260"/>
      <x:c r="AY260"/>
      <x:c r="AZ260"/>
      <x:c r="BA260"/>
      <x:c r="BB260"/>
      <x:c r="BC260"/>
      <x:c r="BD260"/>
      <x:c r="BE260"/>
      <x:c r="BF260">
        <x:f t="shared" si="23"/>
      </x:c>
      <x:c r="BG260">
        <x:f t="shared" si="24"/>
      </x:c>
      <x:c r="BH260"/>
      <x:c r="BI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>
        <x:f t="shared" si="20"/>
      </x:c>
      <x:c r="T261">
        <x:f t="shared" si="21"/>
      </x:c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  <x:c r="AL261"/>
      <x:c r="AM261"/>
      <x:c r="AN261"/>
      <x:c r="AO261"/>
      <x:c r="AP261"/>
      <x:c r="AQ261"/>
      <x:c r="AR261"/>
      <x:c r="AS261">
        <x:f t="shared" si="22"/>
      </x:c>
      <x:c r="AT261"/>
      <x:c r="AU261"/>
      <x:c r="AV261"/>
      <x:c r="AW261"/>
      <x:c r="AX261"/>
      <x:c r="AY261"/>
      <x:c r="AZ261"/>
      <x:c r="BA261"/>
      <x:c r="BB261"/>
      <x:c r="BC261"/>
      <x:c r="BD261"/>
      <x:c r="BE261"/>
      <x:c r="BF261">
        <x:f t="shared" si="23"/>
      </x:c>
      <x:c r="BG261">
        <x:f t="shared" si="24"/>
      </x:c>
      <x:c r="BH261"/>
      <x:c r="BI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>
        <x:f t="shared" si="20"/>
      </x:c>
      <x:c r="T262">
        <x:f t="shared" si="21"/>
      </x:c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  <x:c r="AL262"/>
      <x:c r="AM262"/>
      <x:c r="AN262"/>
      <x:c r="AO262"/>
      <x:c r="AP262"/>
      <x:c r="AQ262"/>
      <x:c r="AR262"/>
      <x:c r="AS262">
        <x:f t="shared" si="22"/>
      </x:c>
      <x:c r="AT262"/>
      <x:c r="AU262"/>
      <x:c r="AV262"/>
      <x:c r="AW262"/>
      <x:c r="AX262"/>
      <x:c r="AY262"/>
      <x:c r="AZ262"/>
      <x:c r="BA262"/>
      <x:c r="BB262"/>
      <x:c r="BC262"/>
      <x:c r="BD262"/>
      <x:c r="BE262"/>
      <x:c r="BF262">
        <x:f t="shared" si="23"/>
      </x:c>
      <x:c r="BG262">
        <x:f t="shared" si="24"/>
      </x:c>
      <x:c r="BH262"/>
      <x:c r="BI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>
        <x:f t="shared" si="20"/>
      </x:c>
      <x:c r="T263">
        <x:f t="shared" si="21"/>
      </x:c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/>
      <x:c r="AN263"/>
      <x:c r="AO263"/>
      <x:c r="AP263"/>
      <x:c r="AQ263"/>
      <x:c r="AR263"/>
      <x:c r="AS263">
        <x:f t="shared" si="22"/>
      </x:c>
      <x:c r="AT263"/>
      <x:c r="AU263"/>
      <x:c r="AV263"/>
      <x:c r="AW263"/>
      <x:c r="AX263"/>
      <x:c r="AY263"/>
      <x:c r="AZ263"/>
      <x:c r="BA263"/>
      <x:c r="BB263"/>
      <x:c r="BC263"/>
      <x:c r="BD263"/>
      <x:c r="BE263"/>
      <x:c r="BF263">
        <x:f t="shared" si="23"/>
      </x:c>
      <x:c r="BG263">
        <x:f t="shared" si="24"/>
      </x:c>
      <x:c r="BH263"/>
      <x:c r="BI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>
        <x:f t="shared" si="20"/>
      </x:c>
      <x:c r="T264">
        <x:f t="shared" si="21"/>
      </x:c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>
        <x:f t="shared" si="22"/>
      </x:c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>
        <x:f t="shared" si="23"/>
      </x:c>
      <x:c r="BG264">
        <x:f t="shared" si="24"/>
      </x:c>
      <x:c r="BH264"/>
      <x:c r="BI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>
        <x:f t="shared" si="20"/>
      </x:c>
      <x:c r="T265">
        <x:f t="shared" si="21"/>
      </x:c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  <x:c r="AL265"/>
      <x:c r="AM265"/>
      <x:c r="AN265"/>
      <x:c r="AO265"/>
      <x:c r="AP265"/>
      <x:c r="AQ265"/>
      <x:c r="AR265"/>
      <x:c r="AS265">
        <x:f t="shared" si="22"/>
      </x:c>
      <x:c r="AT265"/>
      <x:c r="AU265"/>
      <x:c r="AV265"/>
      <x:c r="AW265"/>
      <x:c r="AX265"/>
      <x:c r="AY265"/>
      <x:c r="AZ265"/>
      <x:c r="BA265"/>
      <x:c r="BB265"/>
      <x:c r="BC265"/>
      <x:c r="BD265"/>
      <x:c r="BE265"/>
      <x:c r="BF265">
        <x:f t="shared" si="23"/>
      </x:c>
      <x:c r="BG265">
        <x:f t="shared" si="24"/>
      </x:c>
      <x:c r="BH265"/>
      <x:c r="BI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>
        <x:f t="shared" si="20"/>
      </x:c>
      <x:c r="T266">
        <x:f t="shared" si="21"/>
      </x:c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>
        <x:f t="shared" si="22"/>
      </x:c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>
        <x:f t="shared" si="23"/>
      </x:c>
      <x:c r="BG266">
        <x:f t="shared" si="24"/>
      </x:c>
      <x:c r="BH266"/>
      <x:c r="BI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>
        <x:f t="shared" si="20"/>
      </x:c>
      <x:c r="T267">
        <x:f t="shared" si="21"/>
      </x:c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>
        <x:f t="shared" si="22"/>
      </x:c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>
        <x:f t="shared" si="23"/>
      </x:c>
      <x:c r="BG267">
        <x:f t="shared" si="24"/>
      </x:c>
      <x:c r="BH267"/>
      <x:c r="BI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>
        <x:f t="shared" si="20"/>
      </x:c>
      <x:c r="T268">
        <x:f t="shared" si="21"/>
      </x:c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>
        <x:f t="shared" si="22"/>
      </x:c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>
        <x:f t="shared" si="23"/>
      </x:c>
      <x:c r="BG268">
        <x:f t="shared" si="24"/>
      </x:c>
      <x:c r="BH268"/>
      <x:c r="BI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>
        <x:f t="shared" si="20"/>
      </x:c>
      <x:c r="T269">
        <x:f t="shared" si="21"/>
      </x:c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>
        <x:f t="shared" si="22"/>
      </x:c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>
        <x:f t="shared" si="23"/>
      </x:c>
      <x:c r="BG269">
        <x:f t="shared" si="24"/>
      </x:c>
      <x:c r="BH269"/>
      <x:c r="BI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>
        <x:f t="shared" si="20"/>
      </x:c>
      <x:c r="T270">
        <x:f t="shared" si="21"/>
      </x:c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>
        <x:f t="shared" si="22"/>
      </x:c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>
        <x:f t="shared" si="23"/>
      </x:c>
      <x:c r="BG270">
        <x:f t="shared" si="24"/>
      </x:c>
      <x:c r="BH270"/>
      <x:c r="BI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>
        <x:f t="shared" si="20"/>
      </x:c>
      <x:c r="T271">
        <x:f t="shared" si="21"/>
      </x:c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>
        <x:f t="shared" si="22"/>
      </x:c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>
        <x:f t="shared" si="23"/>
      </x:c>
      <x:c r="BG271">
        <x:f t="shared" si="24"/>
      </x:c>
      <x:c r="BH271"/>
      <x:c r="BI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>
        <x:f t="shared" si="20"/>
      </x:c>
      <x:c r="T272">
        <x:f t="shared" si="21"/>
      </x:c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>
        <x:f t="shared" si="22"/>
      </x:c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>
        <x:f t="shared" si="23"/>
      </x:c>
      <x:c r="BG272">
        <x:f t="shared" si="24"/>
      </x:c>
      <x:c r="BH272"/>
      <x:c r="BI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>
        <x:f t="shared" si="20"/>
      </x:c>
      <x:c r="T273">
        <x:f t="shared" si="21"/>
      </x:c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>
        <x:f t="shared" si="22"/>
      </x:c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>
        <x:f t="shared" si="23"/>
      </x:c>
      <x:c r="BG273">
        <x:f t="shared" si="24"/>
      </x:c>
      <x:c r="BH273"/>
      <x:c r="BI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>
        <x:f t="shared" si="20"/>
      </x:c>
      <x:c r="T274">
        <x:f t="shared" si="21"/>
      </x:c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>
        <x:f t="shared" si="22"/>
      </x:c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>
        <x:f t="shared" si="23"/>
      </x:c>
      <x:c r="BG274">
        <x:f t="shared" si="24"/>
      </x:c>
      <x:c r="BH274"/>
      <x:c r="BI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>
        <x:f t="shared" si="20"/>
      </x:c>
      <x:c r="T275">
        <x:f t="shared" si="21"/>
      </x:c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>
        <x:f t="shared" si="22"/>
      </x:c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>
        <x:f t="shared" si="23"/>
      </x:c>
      <x:c r="BG275">
        <x:f t="shared" si="24"/>
      </x:c>
      <x:c r="BH275"/>
      <x:c r="BI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>
        <x:f t="shared" si="20"/>
      </x:c>
      <x:c r="T276">
        <x:f t="shared" si="21"/>
      </x:c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>
        <x:f t="shared" si="22"/>
      </x:c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>
        <x:f t="shared" si="23"/>
      </x:c>
      <x:c r="BG276">
        <x:f t="shared" si="24"/>
      </x:c>
      <x:c r="BH276"/>
      <x:c r="BI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>
        <x:f t="shared" si="20"/>
      </x:c>
      <x:c r="T277">
        <x:f t="shared" si="21"/>
      </x:c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>
        <x:f t="shared" si="22"/>
      </x:c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>
        <x:f t="shared" si="23"/>
      </x:c>
      <x:c r="BG277">
        <x:f t="shared" si="24"/>
      </x:c>
      <x:c r="BH277"/>
      <x:c r="BI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>
        <x:f t="shared" si="20"/>
      </x:c>
      <x:c r="T278">
        <x:f t="shared" si="21"/>
      </x:c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>
        <x:f t="shared" si="22"/>
      </x:c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>
        <x:f t="shared" si="23"/>
      </x:c>
      <x:c r="BG278">
        <x:f t="shared" si="24"/>
      </x:c>
      <x:c r="BH278"/>
      <x:c r="BI278"/>
    </x:row>
  </x:sheetData>
  <x:conditionalFormatting sqref="BE2:BG278">
    <x:cfRule type="expression" dxfId="1" priority="1">
      <x:formula>BE2="Yes"</x:formula>
    </x:cfRule>
    <x:cfRule type="expression" dxfId="0" priority="2">
      <x:formula>BE2="No"</x:formula>
    </x:cfRule>
  </x:conditionalFormatting>
  <x:pageMargins left="0.7" right="0.7" top="0.75" bottom="0.75" header="0.3" footer="0.3"/>
</x:worksheet>
</file>