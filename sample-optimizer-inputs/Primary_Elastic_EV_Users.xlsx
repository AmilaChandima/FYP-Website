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cab94001140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2245913d8c4a3c"/>
  </x:sheets>
</x:workbook>
</file>

<file path=xl/sharedStrings.xml><?xml version="1.0" encoding="utf-8"?>
<x:sst xmlns:x="http://schemas.openxmlformats.org/spreadsheetml/2006/main">
  <x:si>
    <x:t xml:space="preserve">Source_Cohort</x:t>
  </x:si>
  <x:si>
    <x:t xml:space="preserve">Overall_EV_No</x:t>
  </x:si>
  <x:si>
    <x:t xml:space="preserve">Controller_EV_ID</x:t>
  </x:si>
  <x:si>
    <x:t xml:space="preserve">EV_Notation</x:t>
  </x:si>
  <x:si>
    <x:t xml:space="preserve">User_Type</x:t>
  </x:si>
  <x:si>
    <x:t xml:space="preserve">User_Type_Description</x:t>
  </x:si>
  <x:si>
    <x:t xml:space="preserve">Type_EV_No</x:t>
  </x:si>
  <x:si>
    <x:t xml:space="preserve">Queue_Priority</x:t>
  </x:si>
  <x:si>
    <x:t xml:space="preserve">Arrival_Rate_Lambda_EV_per_day</x:t>
  </x:si>
  <x:si>
    <x:t xml:space="preserve">Arrival_Hour_Probability</x:t>
  </x:si>
  <x:si>
    <x:t xml:space="preserve">Arrival_Day_Offset</x:t>
  </x:si>
  <x:si>
    <x:t xml:space="preserve">Arrival_Time</x:t>
  </x:si>
  <x:si>
    <x:t xml:space="preserve">Arrival_Minute</x:t>
  </x:si>
  <x:si>
    <x:t xml:space="preserve">Original_Arrival_15min_Slot</x:t>
  </x:si>
  <x:si>
    <x:t xml:space="preserve">Battery_Capacity_kWh</x:t>
  </x:si>
  <x:si>
    <x:t xml:space="preserve">Initial_SOC_pct</x:t>
  </x:si>
  <x:si>
    <x:t xml:space="preserve">SOC_at_Typical_Day_00pct</x:t>
  </x:si>
  <x:si>
    <x:t xml:space="preserve">Target_SOC_pct</x:t>
  </x:si>
  <x:si>
    <x:t xml:space="preserve">Requested_Battery_Energy_kWh</x:t>
  </x:si>
  <x:si>
    <x:t xml:space="preserve">Controller_Required_Energy_at_00_kWh</x:t>
  </x:si>
  <x:si>
    <x:t xml:space="preserve">Nominal_Grid_Energy_at_92_5pct</x:t>
  </x:si>
  <x:si>
    <x:t xml:space="preserve">EV_Max_Charging_Power_kW</x:t>
  </x:si>
  <x:si>
    <x:t xml:space="preserve">Controller_Power_Limit_kW</x:t>
  </x:si>
  <x:si>
    <x:t xml:space="preserve">Session_Efficiency_pct</x:t>
  </x:si>
  <x:si>
    <x:t xml:space="preserve">Active_Chargers_Before_Arrival</x:t>
  </x:si>
  <x:si>
    <x:t xml:space="preserve">Queue_Length_Before_Arrival</x:t>
  </x:si>
  <x:si>
    <x:t xml:space="preserve">Initial_Queue_Position</x:t>
  </x:si>
  <x:si>
    <x:t xml:space="preserve">State_at_Typical_Day_00</x:t>
  </x:si>
  <x:si>
    <x:t xml:space="preserve">Queue_Position_at_Typical_Day_00</x:t>
  </x:si>
  <x:si>
    <x:t xml:space="preserve">Charger_at_Typical_Day_00</x:t>
  </x:si>
  <x:si>
    <x:t xml:space="preserve">Admission_Status</x:t>
  </x:si>
  <x:si>
    <x:t xml:space="preserve">Assigned_Charger</x:t>
  </x:si>
  <x:si>
    <x:t xml:space="preserve">Charging_Start_Day_Offset</x:t>
  </x:si>
  <x:si>
    <x:t xml:space="preserve">Charging_Start_Time</x:t>
  </x:si>
  <x:si>
    <x:t xml:space="preserve">Charging_Start_15min_Slot</x:t>
  </x:si>
  <x:si>
    <x:t xml:space="preserve">Waiting_Time_min</x:t>
  </x:si>
  <x:si>
    <x:t xml:space="preserve">Completion_Status</x:t>
  </x:si>
  <x:si>
    <x:t xml:space="preserve">Completion_Day_Offset</x:t>
  </x:si>
  <x:si>
    <x:t xml:space="preserve">Completion_Time</x:t>
  </x:si>
  <x:si>
    <x:t xml:space="preserve">Completion_15min_Slot</x:t>
  </x:si>
  <x:si>
    <x:t xml:space="preserve">Service_Duration_min</x:t>
  </x:si>
  <x:si>
    <x:t xml:space="preserve">Total_Time_at_Station_min</x:t>
  </x:si>
  <x:si>
    <x:t xml:space="preserve">Actual_Grid_Energy_kWh</x:t>
  </x:si>
  <x:si>
    <x:t xml:space="preserve">Actual_Battery_Energy_kWh</x:t>
  </x:si>
  <x:si>
    <x:t xml:space="preserve">Delivered_Energy_Ratio_pct</x:t>
  </x:si>
  <x:si>
    <x:t xml:space="preserve">Average_Charging_Power_kW</x:t>
  </x:si>
  <x:si>
    <x:t xml:space="preserve">Peak_Charging_Power_kW</x:t>
  </x:si>
  <x:si>
    <x:t xml:space="preserve">Final_SOC_pct</x:t>
  </x:si>
  <x:si>
    <x:t xml:space="preserve">Crosses_Midnight</x:t>
  </x:si>
  <x:si>
    <x:t xml:space="preserve">Blocked_Reason</x:t>
  </x:si>
  <x:si>
    <x:t xml:space="preserve">Controller_Action_Class</x:t>
  </x:si>
  <x:si>
    <x:t xml:space="preserve">Controller_Adjusted_Arrival_Slot</x:t>
  </x:si>
  <x:si>
    <x:t xml:space="preserve">Controller_Planned_Start_Slot</x:t>
  </x:si>
  <x:si>
    <x:t xml:space="preserve">Controller_Planned_Price_LKR_per_kWh</x:t>
  </x:si>
  <x:si>
    <x:t xml:space="preserve">Controller_Allocated_Power_kW</x:t>
  </x:si>
  <x:si>
    <x:t xml:space="preserve">Controller_Notes</x:t>
  </x:si>
  <x:si>
    <x:t xml:space="preserve">Waiting_QoS_Met</x:t>
  </x:si>
  <x:si>
    <x:t xml:space="preserve">Completion_QoS_Met</x:t>
  </x:si>
  <x:si>
    <x:t xml:space="preserve">Overall_QoS_Met</x:t>
  </x:si>
  <x:si>
    <x:t xml:space="preserve">Typical-day arrival</x:t>
  </x:si>
  <x:si>
    <x:t xml:space="preserve">TD-EV-001</x:t>
  </x:si>
  <x:si>
    <x:t xml:space="preserve">TD-P-001</x:t>
  </x:si>
  <x:si>
    <x:t xml:space="preserve">primary</x:t>
  </x:si>
  <x:si>
    <x:t xml:space="preserve">Primary booked users</x:t>
  </x:si>
  <x:si>
    <x:t xml:space="preserve">00:04</x:t>
  </x:si>
  <x:si>
    <x:t xml:space="preserve">Immediate admission</x:t>
  </x:si>
  <x:si>
    <x:t xml:space="preserve">Completed</x:t>
  </x:si>
  <x:si>
    <x:t xml:space="preserve">00:34</x:t>
  </x:si>
  <x:si>
    <x:t xml:space="preserve">Fixed priority service</x:t>
  </x:si>
  <x:si>
    <x:t xml:space="preserve">TD-EV-002</x:t>
  </x:si>
  <x:si>
    <x:t xml:space="preserve">TD-P-002</x:t>
  </x:si>
  <x:si>
    <x:t xml:space="preserve">01:02</x:t>
  </x:si>
  <x:si>
    <x:t xml:space="preserve">01:18</x:t>
  </x:si>
  <x:si>
    <x:t xml:space="preserve">TD-EV-008</x:t>
  </x:si>
  <x:si>
    <x:t xml:space="preserve">TD-P-003</x:t>
  </x:si>
  <x:si>
    <x:t xml:space="preserve">03:41</x:t>
  </x:si>
  <x:si>
    <x:t xml:space="preserve">04:11</x:t>
  </x:si>
  <x:si>
    <x:t xml:space="preserve">TD-EV-012</x:t>
  </x:si>
  <x:si>
    <x:t xml:space="preserve">TD-E-001</x:t>
  </x:si>
  <x:si>
    <x:t xml:space="preserve">elastic</x:t>
  </x:si>
  <x:si>
    <x:t xml:space="preserve">Secondary elastic users</x:t>
  </x:si>
  <x:si>
    <x:t xml:space="preserve">04:50</x:t>
  </x:si>
  <x:si>
    <x:t xml:space="preserve">05:00</x:t>
  </x:si>
  <x:si>
    <x:t xml:space="preserve">Time-shift candidate</x:t>
  </x:si>
  <x:si>
    <x:t xml:space="preserve">TD-EV-015</x:t>
  </x:si>
  <x:si>
    <x:t xml:space="preserve">TD-P-004</x:t>
  </x:si>
  <x:si>
    <x:t xml:space="preserve">05:03</x:t>
  </x:si>
  <x:si>
    <x:t xml:space="preserve">05:27</x:t>
  </x:si>
  <x:si>
    <x:t xml:space="preserve">TD-EV-016</x:t>
  </x:si>
  <x:si>
    <x:t xml:space="preserve">TD-P-005</x:t>
  </x:si>
  <x:si>
    <x:t xml:space="preserve">05:04</x:t>
  </x:si>
  <x:si>
    <x:t xml:space="preserve">05:09</x:t>
  </x:si>
  <x:si>
    <x:t xml:space="preserve">TD-EV-019</x:t>
  </x:si>
  <x:si>
    <x:t xml:space="preserve">TD-P-006</x:t>
  </x:si>
  <x:si>
    <x:t xml:space="preserve">05:10</x:t>
  </x:si>
  <x:si>
    <x:t xml:space="preserve">06:06</x:t>
  </x:si>
  <x:si>
    <x:t xml:space="preserve">TD-EV-020</x:t>
  </x:si>
  <x:si>
    <x:t xml:space="preserve">TD-P-007</x:t>
  </x:si>
  <x:si>
    <x:t xml:space="preserve">05:14</x:t>
  </x:si>
  <x:si>
    <x:t xml:space="preserve">05:20</x:t>
  </x:si>
  <x:si>
    <x:t xml:space="preserve">TD-EV-022</x:t>
  </x:si>
  <x:si>
    <x:t xml:space="preserve">TD-P-008</x:t>
  </x:si>
  <x:si>
    <x:t xml:space="preserve">05:18</x:t>
  </x:si>
  <x:si>
    <x:t xml:space="preserve">05:39</x:t>
  </x:si>
  <x:si>
    <x:t xml:space="preserve">TD-EV-023</x:t>
  </x:si>
  <x:si>
    <x:t xml:space="preserve">TD-P-009</x:t>
  </x:si>
  <x:si>
    <x:t xml:space="preserve">05:23</x:t>
  </x:si>
  <x:si>
    <x:t xml:space="preserve">TD-EV-024</x:t>
  </x:si>
  <x:si>
    <x:t xml:space="preserve">TD-P-010</x:t>
  </x:si>
  <x:si>
    <x:t xml:space="preserve">05:50</x:t>
  </x:si>
  <x:si>
    <x:t xml:space="preserve">TD-EV-027</x:t>
  </x:si>
  <x:si>
    <x:t xml:space="preserve">TD-P-011</x:t>
  </x:si>
  <x:si>
    <x:t xml:space="preserve">05:42</x:t>
  </x:si>
  <x:si>
    <x:t xml:space="preserve">TD-EV-030</x:t>
  </x:si>
  <x:si>
    <x:t xml:space="preserve">TD-P-012</x:t>
  </x:si>
  <x:si>
    <x:t xml:space="preserve">05:31</x:t>
  </x:si>
  <x:si>
    <x:t xml:space="preserve">05:55</x:t>
  </x:si>
  <x:si>
    <x:t xml:space="preserve">TD-EV-032</x:t>
  </x:si>
  <x:si>
    <x:t xml:space="preserve">TD-P-013</x:t>
  </x:si>
  <x:si>
    <x:t xml:space="preserve">05:32</x:t>
  </x:si>
  <x:si>
    <x:t xml:space="preserve">Queued then admitted</x:t>
  </x:si>
  <x:si>
    <x:t xml:space="preserve">05:33</x:t>
  </x:si>
  <x:si>
    <x:t xml:space="preserve">05:44</x:t>
  </x:si>
  <x:si>
    <x:t xml:space="preserve">TD-EV-034</x:t>
  </x:si>
  <x:si>
    <x:t xml:space="preserve">TD-P-014</x:t>
  </x:si>
  <x:si>
    <x:t xml:space="preserve">05:37</x:t>
  </x:si>
  <x:si>
    <x:t xml:space="preserve">05:38</x:t>
  </x:si>
  <x:si>
    <x:t xml:space="preserve">05:56</x:t>
  </x:si>
  <x:si>
    <x:t xml:space="preserve">TD-EV-035</x:t>
  </x:si>
  <x:si>
    <x:t xml:space="preserve">TD-P-015</x:t>
  </x:si>
  <x:si>
    <x:t xml:space="preserve">06:37</x:t>
  </x:si>
  <x:si>
    <x:t xml:space="preserve">TD-EV-037</x:t>
  </x:si>
  <x:si>
    <x:t xml:space="preserve">TD-E-002</x:t>
  </x:si>
  <x:si>
    <x:t xml:space="preserve">05:43</x:t>
  </x:si>
  <x:si>
    <x:t xml:space="preserve">05:49</x:t>
  </x:si>
  <x:si>
    <x:t xml:space="preserve">05:58</x:t>
  </x:si>
  <x:si>
    <x:t xml:space="preserve">TD-EV-039</x:t>
  </x:si>
  <x:si>
    <x:t xml:space="preserve">TD-P-016</x:t>
  </x:si>
  <x:si>
    <x:t xml:space="preserve">06:00</x:t>
  </x:si>
  <x:si>
    <x:t xml:space="preserve">TD-EV-042</x:t>
  </x:si>
  <x:si>
    <x:t xml:space="preserve">TD-P-017</x:t>
  </x:si>
  <x:si>
    <x:t xml:space="preserve">05:54</x:t>
  </x:si>
  <x:si>
    <x:t xml:space="preserve">06:47</x:t>
  </x:si>
  <x:si>
    <x:t xml:space="preserve">TD-EV-043</x:t>
  </x:si>
  <x:si>
    <x:t xml:space="preserve">TD-P-018</x:t>
  </x:si>
  <x:si>
    <x:t xml:space="preserve">06:09</x:t>
  </x:si>
  <x:si>
    <x:t xml:space="preserve">TD-EV-048</x:t>
  </x:si>
  <x:si>
    <x:t xml:space="preserve">TD-P-019</x:t>
  </x:si>
  <x:si>
    <x:t xml:space="preserve">06:20</x:t>
  </x:si>
  <x:si>
    <x:t xml:space="preserve">07:08</x:t>
  </x:si>
  <x:si>
    <x:t xml:space="preserve">TD-EV-049</x:t>
  </x:si>
  <x:si>
    <x:t xml:space="preserve">TD-P-020</x:t>
  </x:si>
  <x:si>
    <x:t xml:space="preserve">TD-EV-050</x:t>
  </x:si>
  <x:si>
    <x:t xml:space="preserve">TD-P-021</x:t>
  </x:si>
  <x:si>
    <x:t xml:space="preserve">06:24</x:t>
  </x:si>
  <x:si>
    <x:t xml:space="preserve">06:36</x:t>
  </x:si>
  <x:si>
    <x:t xml:space="preserve">TD-EV-051</x:t>
  </x:si>
  <x:si>
    <x:t xml:space="preserve">TD-P-022</x:t>
  </x:si>
  <x:si>
    <x:t xml:space="preserve">06:27</x:t>
  </x:si>
  <x:si>
    <x:t xml:space="preserve">06:42</x:t>
  </x:si>
  <x:si>
    <x:t xml:space="preserve">TD-EV-053</x:t>
  </x:si>
  <x:si>
    <x:t xml:space="preserve">TD-P-023</x:t>
  </x:si>
  <x:si>
    <x:t xml:space="preserve">06:30</x:t>
  </x:si>
  <x:si>
    <x:t xml:space="preserve">06:48</x:t>
  </x:si>
  <x:si>
    <x:t xml:space="preserve">TD-EV-056</x:t>
  </x:si>
  <x:si>
    <x:t xml:space="preserve">TD-P-024</x:t>
  </x:si>
  <x:si>
    <x:t xml:space="preserve">06:40</x:t>
  </x:si>
  <x:si>
    <x:t xml:space="preserve">07:13</x:t>
  </x:si>
  <x:si>
    <x:t xml:space="preserve">TD-EV-057</x:t>
  </x:si>
  <x:si>
    <x:t xml:space="preserve">TD-P-025</x:t>
  </x:si>
  <x:si>
    <x:t xml:space="preserve">06:53</x:t>
  </x:si>
  <x:si>
    <x:t xml:space="preserve">TD-EV-059</x:t>
  </x:si>
  <x:si>
    <x:t xml:space="preserve">TD-P-026</x:t>
  </x:si>
  <x:si>
    <x:t xml:space="preserve">06:44</x:t>
  </x:si>
  <x:si>
    <x:t xml:space="preserve">07:01</x:t>
  </x:si>
  <x:si>
    <x:t xml:space="preserve">TD-EV-062</x:t>
  </x:si>
  <x:si>
    <x:t xml:space="preserve">TD-P-027</x:t>
  </x:si>
  <x:si>
    <x:t xml:space="preserve">06:51</x:t>
  </x:si>
  <x:si>
    <x:t xml:space="preserve">TD-EV-063</x:t>
  </x:si>
  <x:si>
    <x:t xml:space="preserve">TD-E-003</x:t>
  </x:si>
  <x:si>
    <x:t xml:space="preserve">06:52</x:t>
  </x:si>
  <x:si>
    <x:t xml:space="preserve">06:57</x:t>
  </x:si>
  <x:si>
    <x:t xml:space="preserve">TD-EV-064</x:t>
  </x:si>
  <x:si>
    <x:t xml:space="preserve">TD-P-028</x:t>
  </x:si>
  <x:si>
    <x:t xml:space="preserve">07:28</x:t>
  </x:si>
  <x:si>
    <x:t xml:space="preserve">TD-EV-065</x:t>
  </x:si>
  <x:si>
    <x:t xml:space="preserve">TD-P-029</x:t>
  </x:si>
  <x:si>
    <x:t xml:space="preserve">07:14</x:t>
  </x:si>
  <x:si>
    <x:t xml:space="preserve">TD-EV-067</x:t>
  </x:si>
  <x:si>
    <x:t xml:space="preserve">TD-P-030</x:t>
  </x:si>
  <x:si>
    <x:t xml:space="preserve">07:02</x:t>
  </x:si>
  <x:si>
    <x:t xml:space="preserve">07:17</x:t>
  </x:si>
  <x:si>
    <x:t xml:space="preserve">TD-EV-070</x:t>
  </x:si>
  <x:si>
    <x:t xml:space="preserve">TD-P-031</x:t>
  </x:si>
  <x:si>
    <x:t xml:space="preserve">07:18</x:t>
  </x:si>
  <x:si>
    <x:t xml:space="preserve">TD-EV-071</x:t>
  </x:si>
  <x:si>
    <x:t xml:space="preserve">TD-P-032</x:t>
  </x:si>
  <x:si>
    <x:t xml:space="preserve">07:09</x:t>
  </x:si>
  <x:si>
    <x:t xml:space="preserve">08:00</x:t>
  </x:si>
  <x:si>
    <x:t xml:space="preserve">TD-EV-072</x:t>
  </x:si>
  <x:si>
    <x:t xml:space="preserve">TD-P-033</x:t>
  </x:si>
  <x:si>
    <x:t xml:space="preserve">07:26</x:t>
  </x:si>
  <x:si>
    <x:t xml:space="preserve">TD-EV-073</x:t>
  </x:si>
  <x:si>
    <x:t xml:space="preserve">TD-P-034</x:t>
  </x:si>
  <x:si>
    <x:t xml:space="preserve">07:15</x:t>
  </x:si>
  <x:si>
    <x:t xml:space="preserve">07:41</x:t>
  </x:si>
  <x:si>
    <x:t xml:space="preserve">TD-EV-075</x:t>
  </x:si>
  <x:si>
    <x:t xml:space="preserve">TD-P-035</x:t>
  </x:si>
  <x:si>
    <x:t xml:space="preserve">07:19</x:t>
  </x:si>
  <x:si>
    <x:t xml:space="preserve">07:30</x:t>
  </x:si>
  <x:si>
    <x:t xml:space="preserve">TD-EV-076</x:t>
  </x:si>
  <x:si>
    <x:t xml:space="preserve">TD-P-036</x:t>
  </x:si>
  <x:si>
    <x:t xml:space="preserve">07:32</x:t>
  </x:si>
  <x:si>
    <x:t xml:space="preserve">07:51</x:t>
  </x:si>
  <x:si>
    <x:t xml:space="preserve">TD-EV-081</x:t>
  </x:si>
  <x:si>
    <x:t xml:space="preserve">TD-E-004</x:t>
  </x:si>
  <x:si>
    <x:t xml:space="preserve">07:49</x:t>
  </x:si>
  <x:si>
    <x:t xml:space="preserve">08:05</x:t>
  </x:si>
  <x:si>
    <x:t xml:space="preserve">TD-EV-082</x:t>
  </x:si>
  <x:si>
    <x:t xml:space="preserve">TD-P-037</x:t>
  </x:si>
  <x:si>
    <x:t xml:space="preserve">07:54</x:t>
  </x:si>
  <x:si>
    <x:t xml:space="preserve">08:11</x:t>
  </x:si>
  <x:si>
    <x:t xml:space="preserve">TD-EV-083</x:t>
  </x:si>
  <x:si>
    <x:t xml:space="preserve">TD-E-005</x:t>
  </x:si>
  <x:si>
    <x:t xml:space="preserve">08:12</x:t>
  </x:si>
  <x:si>
    <x:t xml:space="preserve">08:17</x:t>
  </x:si>
  <x:si>
    <x:t xml:space="preserve">TD-EV-084</x:t>
  </x:si>
  <x:si>
    <x:t xml:space="preserve">TD-P-038</x:t>
  </x:si>
  <x:si>
    <x:t xml:space="preserve">08:14</x:t>
  </x:si>
  <x:si>
    <x:t xml:space="preserve">08:29</x:t>
  </x:si>
  <x:si>
    <x:t xml:space="preserve">TD-EV-085</x:t>
  </x:si>
  <x:si>
    <x:t xml:space="preserve">TD-P-039</x:t>
  </x:si>
  <x:si>
    <x:t xml:space="preserve">08:23</x:t>
  </x:si>
  <x:si>
    <x:t xml:space="preserve">TD-EV-088</x:t>
  </x:si>
  <x:si>
    <x:t xml:space="preserve">TD-P-040</x:t>
  </x:si>
  <x:si>
    <x:t xml:space="preserve">09:02</x:t>
  </x:si>
  <x:si>
    <x:t xml:space="preserve">09:23</x:t>
  </x:si>
  <x:si>
    <x:t xml:space="preserve">TD-EV-089</x:t>
  </x:si>
  <x:si>
    <x:t xml:space="preserve">TD-P-041</x:t>
  </x:si>
  <x:si>
    <x:t xml:space="preserve">09:03</x:t>
  </x:si>
  <x:si>
    <x:t xml:space="preserve">09:27</x:t>
  </x:si>
  <x:si>
    <x:t xml:space="preserve">TD-EV-090</x:t>
  </x:si>
  <x:si>
    <x:t xml:space="preserve">TD-E-006</x:t>
  </x:si>
  <x:si>
    <x:t xml:space="preserve">09:05</x:t>
  </x:si>
  <x:si>
    <x:t xml:space="preserve">09:33</x:t>
  </x:si>
  <x:si>
    <x:t xml:space="preserve">TD-EV-091</x:t>
  </x:si>
  <x:si>
    <x:t xml:space="preserve">TD-P-042</x:t>
  </x:si>
  <x:si>
    <x:t xml:space="preserve">09:06</x:t>
  </x:si>
  <x:si>
    <x:t xml:space="preserve">09:09</x:t>
  </x:si>
  <x:si>
    <x:t xml:space="preserve">TD-EV-092</x:t>
  </x:si>
  <x:si>
    <x:t xml:space="preserve">TD-P-043</x:t>
  </x:si>
  <x:si>
    <x:t xml:space="preserve">09:16</x:t>
  </x:si>
  <x:si>
    <x:t xml:space="preserve">09:57</x:t>
  </x:si>
  <x:si>
    <x:t xml:space="preserve">TD-EV-094</x:t>
  </x:si>
  <x:si>
    <x:t xml:space="preserve">TD-P-044</x:t>
  </x:si>
  <x:si>
    <x:t xml:space="preserve">09:25</x:t>
  </x:si>
  <x:si>
    <x:t xml:space="preserve">09:49</x:t>
  </x:si>
  <x:si>
    <x:t xml:space="preserve">TD-EV-096</x:t>
  </x:si>
  <x:si>
    <x:t xml:space="preserve">TD-P-045</x:t>
  </x:si>
  <x:si>
    <x:t xml:space="preserve">09:40</x:t>
  </x:si>
  <x:si>
    <x:t xml:space="preserve">TD-EV-097</x:t>
  </x:si>
  <x:si>
    <x:t xml:space="preserve">TD-P-046</x:t>
  </x:si>
  <x:si>
    <x:t xml:space="preserve">09:44</x:t>
  </x:si>
  <x:si>
    <x:t xml:space="preserve">10:02</x:t>
  </x:si>
  <x:si>
    <x:t xml:space="preserve">TD-EV-100</x:t>
  </x:si>
  <x:si>
    <x:t xml:space="preserve">TD-P-047</x:t>
  </x:si>
  <x:si>
    <x:t xml:space="preserve">10:19</x:t>
  </x:si>
  <x:si>
    <x:t xml:space="preserve">10:31</x:t>
  </x:si>
  <x:si>
    <x:t xml:space="preserve">TD-EV-102</x:t>
  </x:si>
  <x:si>
    <x:t xml:space="preserve">TD-E-007</x:t>
  </x:si>
  <x:si>
    <x:t xml:space="preserve">11:12</x:t>
  </x:si>
  <x:si>
    <x:t xml:space="preserve">11:25</x:t>
  </x:si>
  <x:si>
    <x:t xml:space="preserve">TD-EV-103</x:t>
  </x:si>
  <x:si>
    <x:t xml:space="preserve">TD-E-008</x:t>
  </x:si>
  <x:si>
    <x:t xml:space="preserve">11:35</x:t>
  </x:si>
  <x:si>
    <x:t xml:space="preserve">11:41</x:t>
  </x:si>
  <x:si>
    <x:t xml:space="preserve">TD-EV-104</x:t>
  </x:si>
  <x:si>
    <x:t xml:space="preserve">TD-P-048</x:t>
  </x:si>
  <x:si>
    <x:t xml:space="preserve">11:43</x:t>
  </x:si>
  <x:si>
    <x:t xml:space="preserve">11:53</x:t>
  </x:si>
  <x:si>
    <x:t xml:space="preserve">TD-EV-106</x:t>
  </x:si>
  <x:si>
    <x:t xml:space="preserve">TD-E-009</x:t>
  </x:si>
  <x:si>
    <x:t xml:space="preserve">12:02</x:t>
  </x:si>
  <x:si>
    <x:t xml:space="preserve">12:23</x:t>
  </x:si>
  <x:si>
    <x:t xml:space="preserve">TD-EV-108</x:t>
  </x:si>
  <x:si>
    <x:t xml:space="preserve">TD-P-049</x:t>
  </x:si>
  <x:si>
    <x:t xml:space="preserve">12:22</x:t>
  </x:si>
  <x:si>
    <x:t xml:space="preserve">12:39</x:t>
  </x:si>
  <x:si>
    <x:t xml:space="preserve">TD-EV-109</x:t>
  </x:si>
  <x:si>
    <x:t xml:space="preserve">TD-P-050</x:t>
  </x:si>
  <x:si>
    <x:t xml:space="preserve">12:26</x:t>
  </x:si>
  <x:si>
    <x:t xml:space="preserve">12:36</x:t>
  </x:si>
  <x:si>
    <x:t xml:space="preserve">TD-EV-111</x:t>
  </x:si>
  <x:si>
    <x:t xml:space="preserve">TD-P-051</x:t>
  </x:si>
  <x:si>
    <x:t xml:space="preserve">12:35</x:t>
  </x:si>
  <x:si>
    <x:t xml:space="preserve">12:57</x:t>
  </x:si>
  <x:si>
    <x:t xml:space="preserve">TD-EV-114</x:t>
  </x:si>
  <x:si>
    <x:t xml:space="preserve">TD-E-010</x:t>
  </x:si>
  <x:si>
    <x:t xml:space="preserve">12:50</x:t>
  </x:si>
  <x:si>
    <x:t xml:space="preserve">12:55</x:t>
  </x:si>
  <x:si>
    <x:t xml:space="preserve">TD-EV-115</x:t>
  </x:si>
  <x:si>
    <x:t xml:space="preserve">TD-E-011</x:t>
  </x:si>
  <x:si>
    <x:t xml:space="preserve">13:07</x:t>
  </x:si>
  <x:si>
    <x:t xml:space="preserve">13:13</x:t>
  </x:si>
  <x:si>
    <x:t xml:space="preserve">TD-EV-117</x:t>
  </x:si>
  <x:si>
    <x:t xml:space="preserve">TD-P-052</x:t>
  </x:si>
  <x:si>
    <x:t xml:space="preserve">13:41</x:t>
  </x:si>
  <x:si>
    <x:t xml:space="preserve">13:51</x:t>
  </x:si>
  <x:si>
    <x:t xml:space="preserve">TD-EV-118</x:t>
  </x:si>
  <x:si>
    <x:t xml:space="preserve">TD-P-053</x:t>
  </x:si>
  <x:si>
    <x:t xml:space="preserve">13:43</x:t>
  </x:si>
  <x:si>
    <x:t xml:space="preserve">TD-EV-119</x:t>
  </x:si>
  <x:si>
    <x:t xml:space="preserve">TD-E-012</x:t>
  </x:si>
  <x:si>
    <x:t xml:space="preserve">14:10</x:t>
  </x:si>
  <x:si>
    <x:t xml:space="preserve">14:13</x:t>
  </x:si>
  <x:si>
    <x:t xml:space="preserve">TD-EV-120</x:t>
  </x:si>
  <x:si>
    <x:t xml:space="preserve">TD-E-013</x:t>
  </x:si>
  <x:si>
    <x:t xml:space="preserve">14:17</x:t>
  </x:si>
  <x:si>
    <x:t xml:space="preserve">14:24</x:t>
  </x:si>
  <x:si>
    <x:t xml:space="preserve">TD-EV-125</x:t>
  </x:si>
  <x:si>
    <x:t xml:space="preserve">TD-E-014</x:t>
  </x:si>
  <x:si>
    <x:t xml:space="preserve">16:42</x:t>
  </x:si>
  <x:si>
    <x:t xml:space="preserve">16:56</x:t>
  </x:si>
  <x:si>
    <x:t xml:space="preserve">TD-EV-126</x:t>
  </x:si>
  <x:si>
    <x:t xml:space="preserve">TD-E-015</x:t>
  </x:si>
  <x:si>
    <x:t xml:space="preserve">17:00</x:t>
  </x:si>
  <x:si>
    <x:t xml:space="preserve">17:27</x:t>
  </x:si>
  <x:si>
    <x:t xml:space="preserve">TD-EV-127</x:t>
  </x:si>
  <x:si>
    <x:t xml:space="preserve">TD-E-016</x:t>
  </x:si>
  <x:si>
    <x:t xml:space="preserve">17:20</x:t>
  </x:si>
  <x:si>
    <x:t xml:space="preserve">17:44</x:t>
  </x:si>
  <x:si>
    <x:t xml:space="preserve">TD-EV-129</x:t>
  </x:si>
  <x:si>
    <x:t xml:space="preserve">TD-E-017</x:t>
  </x:si>
  <x:si>
    <x:t xml:space="preserve">17:31</x:t>
  </x:si>
  <x:si>
    <x:t xml:space="preserve">18:03</x:t>
  </x:si>
  <x:si>
    <x:t xml:space="preserve">TD-EV-131</x:t>
  </x:si>
  <x:si>
    <x:t xml:space="preserve">TD-P-054</x:t>
  </x:si>
  <x:si>
    <x:t xml:space="preserve">17:53</x:t>
  </x:si>
  <x:si>
    <x:t xml:space="preserve">18:11</x:t>
  </x:si>
  <x:si>
    <x:t xml:space="preserve">TD-EV-133</x:t>
  </x:si>
  <x:si>
    <x:t xml:space="preserve">TD-P-055</x:t>
  </x:si>
  <x:si>
    <x:t xml:space="preserve">18:04</x:t>
  </x:si>
  <x:si>
    <x:t xml:space="preserve">19:04</x:t>
  </x:si>
  <x:si>
    <x:t xml:space="preserve">TD-EV-134</x:t>
  </x:si>
  <x:si>
    <x:t xml:space="preserve">TD-P-056</x:t>
  </x:si>
  <x:si>
    <x:t xml:space="preserve">18:16</x:t>
  </x:si>
  <x:si>
    <x:t xml:space="preserve">TD-EV-135</x:t>
  </x:si>
  <x:si>
    <x:t xml:space="preserve">TD-P-057</x:t>
  </x:si>
  <x:si>
    <x:t xml:space="preserve">18:07</x:t>
  </x:si>
  <x:si>
    <x:t xml:space="preserve">18:21</x:t>
  </x:si>
  <x:si>
    <x:t xml:space="preserve">TD-EV-136</x:t>
  </x:si>
  <x:si>
    <x:t xml:space="preserve">TD-P-058</x:t>
  </x:si>
  <x:si>
    <x:t xml:space="preserve">18:09</x:t>
  </x:si>
  <x:si>
    <x:t xml:space="preserve">18:27</x:t>
  </x:si>
  <x:si>
    <x:t xml:space="preserve">TD-EV-138</x:t>
  </x:si>
  <x:si>
    <x:t xml:space="preserve">TD-P-059</x:t>
  </x:si>
  <x:si>
    <x:t xml:space="preserve">18:19</x:t>
  </x:si>
  <x:si>
    <x:t xml:space="preserve">18:48</x:t>
  </x:si>
  <x:si>
    <x:t xml:space="preserve">TD-EV-140</x:t>
  </x:si>
  <x:si>
    <x:t xml:space="preserve">TD-E-018</x:t>
  </x:si>
  <x:si>
    <x:t xml:space="preserve">18:31</x:t>
  </x:si>
  <x:si>
    <x:t xml:space="preserve">18:49</x:t>
  </x:si>
  <x:si>
    <x:t xml:space="preserve">TD-EV-141</x:t>
  </x:si>
  <x:si>
    <x:t xml:space="preserve">TD-P-060</x:t>
  </x:si>
  <x:si>
    <x:t xml:space="preserve">18:36</x:t>
  </x:si>
  <x:si>
    <x:t xml:space="preserve">18:56</x:t>
  </x:si>
  <x:si>
    <x:t xml:space="preserve">TD-EV-142</x:t>
  </x:si>
  <x:si>
    <x:t xml:space="preserve">TD-P-061</x:t>
  </x:si>
  <x:si>
    <x:t xml:space="preserve">18:37</x:t>
  </x:si>
  <x:si>
    <x:t xml:space="preserve">18:47</x:t>
  </x:si>
  <x:si>
    <x:t xml:space="preserve">TD-EV-143</x:t>
  </x:si>
  <x:si>
    <x:t xml:space="preserve">TD-P-062</x:t>
  </x:si>
  <x:si>
    <x:t xml:space="preserve">18:39</x:t>
  </x:si>
  <x:si>
    <x:t xml:space="preserve">19:09</x:t>
  </x:si>
  <x:si>
    <x:t xml:space="preserve">TD-EV-144</x:t>
  </x:si>
  <x:si>
    <x:t xml:space="preserve">TD-P-063</x:t>
  </x:si>
  <x:si>
    <x:t xml:space="preserve">18:43</x:t>
  </x:si>
  <x:si>
    <x:t xml:space="preserve">19:41</x:t>
  </x:si>
  <x:si>
    <x:t xml:space="preserve">TD-EV-146</x:t>
  </x:si>
  <x:si>
    <x:t xml:space="preserve">TD-P-064</x:t>
  </x:si>
  <x:si>
    <x:t xml:space="preserve">18:50</x:t>
  </x:si>
  <x:si>
    <x:t xml:space="preserve">19:02</x:t>
  </x:si>
  <x:si>
    <x:t xml:space="preserve">TD-EV-149</x:t>
  </x:si>
  <x:si>
    <x:t xml:space="preserve">TD-P-065</x:t>
  </x:si>
  <x:si>
    <x:t xml:space="preserve">19:20</x:t>
  </x:si>
  <x:si>
    <x:t xml:space="preserve">TD-EV-150</x:t>
  </x:si>
  <x:si>
    <x:t xml:space="preserve">TD-P-066</x:t>
  </x:si>
  <x:si>
    <x:t xml:space="preserve">19:17</x:t>
  </x:si>
  <x:si>
    <x:t xml:space="preserve">TD-EV-153</x:t>
  </x:si>
  <x:si>
    <x:t xml:space="preserve">TD-P-067</x:t>
  </x:si>
  <x:si>
    <x:t xml:space="preserve">19:14</x:t>
  </x:si>
  <x:si>
    <x:t xml:space="preserve">19:24</x:t>
  </x:si>
  <x:si>
    <x:t xml:space="preserve">TD-EV-154</x:t>
  </x:si>
  <x:si>
    <x:t xml:space="preserve">TD-E-019</x:t>
  </x:si>
  <x:si>
    <x:t xml:space="preserve">19:15</x:t>
  </x:si>
  <x:si>
    <x:t xml:space="preserve">19:21</x:t>
  </x:si>
  <x:si>
    <x:t xml:space="preserve">TD-EV-156</x:t>
  </x:si>
  <x:si>
    <x:t xml:space="preserve">TD-P-068</x:t>
  </x:si>
  <x:si>
    <x:t xml:space="preserve">19:50</x:t>
  </x:si>
  <x:si>
    <x:t xml:space="preserve">TD-EV-161</x:t>
  </x:si>
  <x:si>
    <x:t xml:space="preserve">TD-E-020</x:t>
  </x:si>
  <x:si>
    <x:t xml:space="preserve">19:26</x:t>
  </x:si>
  <x:si>
    <x:t xml:space="preserve">19:37</x:t>
  </x:si>
  <x:si>
    <x:t xml:space="preserve">TD-EV-162</x:t>
  </x:si>
  <x:si>
    <x:t xml:space="preserve">TD-P-069</x:t>
  </x:si>
  <x:si>
    <x:t xml:space="preserve">19:27</x:t>
  </x:si>
  <x:si>
    <x:t xml:space="preserve">20:09</x:t>
  </x:si>
  <x:si>
    <x:t xml:space="preserve">TD-EV-163</x:t>
  </x:si>
  <x:si>
    <x:t xml:space="preserve">TD-E-021</x:t>
  </x:si>
  <x:si>
    <x:t xml:space="preserve">19:29</x:t>
  </x:si>
  <x:si>
    <x:t xml:space="preserve">19:35</x:t>
  </x:si>
  <x:si>
    <x:t xml:space="preserve">TD-EV-166</x:t>
  </x:si>
  <x:si>
    <x:t xml:space="preserve">TD-P-070</x:t>
  </x:si>
  <x:si>
    <x:t xml:space="preserve">20:08</x:t>
  </x:si>
  <x:si>
    <x:t xml:space="preserve">TD-EV-167</x:t>
  </x:si>
  <x:si>
    <x:t xml:space="preserve">TD-P-071</x:t>
  </x:si>
  <x:si>
    <x:t xml:space="preserve">19:39</x:t>
  </x:si>
  <x:si>
    <x:t xml:space="preserve">19:55</x:t>
  </x:si>
  <x:si>
    <x:t xml:space="preserve">TD-EV-169</x:t>
  </x:si>
  <x:si>
    <x:t xml:space="preserve">TD-E-022</x:t>
  </x:si>
  <x:si>
    <x:t xml:space="preserve">19:58</x:t>
  </x:si>
  <x:si>
    <x:t xml:space="preserve">TD-EV-170</x:t>
  </x:si>
  <x:si>
    <x:t xml:space="preserve">TD-E-023</x:t>
  </x:si>
  <x:si>
    <x:t xml:space="preserve">19:40</x:t>
  </x:si>
  <x:si>
    <x:t xml:space="preserve">19:54</x:t>
  </x:si>
  <x:si>
    <x:t xml:space="preserve">TD-EV-171</x:t>
  </x:si>
  <x:si>
    <x:t xml:space="preserve">TD-P-072</x:t>
  </x:si>
  <x:si>
    <x:t xml:space="preserve">20:07</x:t>
  </x:si>
  <x:si>
    <x:t xml:space="preserve">TD-EV-172</x:t>
  </x:si>
  <x:si>
    <x:t xml:space="preserve">TD-P-073</x:t>
  </x:si>
  <x:si>
    <x:t xml:space="preserve">19:42</x:t>
  </x:si>
  <x:si>
    <x:t xml:space="preserve">19:46</x:t>
  </x:si>
  <x:si>
    <x:t xml:space="preserve">20:00</x:t>
  </x:si>
  <x:si>
    <x:t xml:space="preserve">TD-EV-173</x:t>
  </x:si>
  <x:si>
    <x:t xml:space="preserve">TD-P-074</x:t>
  </x:si>
  <x:si>
    <x:t xml:space="preserve">19:45</x:t>
  </x:si>
  <x:si>
    <x:t xml:space="preserve">20:12</x:t>
  </x:si>
  <x:si>
    <x:t xml:space="preserve">TD-EV-174</x:t>
  </x:si>
  <x:si>
    <x:t xml:space="preserve">TD-P-075</x:t>
  </x:si>
  <x:si>
    <x:t xml:space="preserve">20:10</x:t>
  </x:si>
  <x:si>
    <x:t xml:space="preserve">TD-EV-176</x:t>
  </x:si>
  <x:si>
    <x:t xml:space="preserve">TD-P-076</x:t>
  </x:si>
  <x:si>
    <x:t xml:space="preserve">19:51</x:t>
  </x:si>
  <x:si>
    <x:t xml:space="preserve">20:01</x:t>
  </x:si>
  <x:si>
    <x:t xml:space="preserve">TD-EV-181</x:t>
  </x:si>
  <x:si>
    <x:t xml:space="preserve">TD-P-077</x:t>
  </x:si>
  <x:si>
    <x:t xml:space="preserve">19:57</x:t>
  </x:si>
  <x:si>
    <x:t xml:space="preserve">20:13</x:t>
  </x:si>
  <x:si>
    <x:t xml:space="preserve">TD-EV-183</x:t>
  </x:si>
  <x:si>
    <x:t xml:space="preserve">TD-P-078</x:t>
  </x:si>
  <x:si>
    <x:t xml:space="preserve">20:03</x:t>
  </x:si>
  <x:si>
    <x:t xml:space="preserve">20:15</x:t>
  </x:si>
  <x:si>
    <x:t xml:space="preserve">TD-EV-188</x:t>
  </x:si>
  <x:si>
    <x:t xml:space="preserve">TD-P-079</x:t>
  </x:si>
  <x:si>
    <x:t xml:space="preserve">20:06</x:t>
  </x:si>
  <x:si>
    <x:t xml:space="preserve">20:16</x:t>
  </x:si>
  <x:si>
    <x:t xml:space="preserve">TD-EV-191</x:t>
  </x:si>
  <x:si>
    <x:t xml:space="preserve">TD-P-080</x:t>
  </x:si>
  <x:si>
    <x:t xml:space="preserve">20:17</x:t>
  </x:si>
  <x:si>
    <x:t xml:space="preserve">20:24</x:t>
  </x:si>
  <x:si>
    <x:t xml:space="preserve">TD-EV-193</x:t>
  </x:si>
  <x:si>
    <x:t xml:space="preserve">TD-P-081</x:t>
  </x:si>
  <x:si>
    <x:t xml:space="preserve">20:23</x:t>
  </x:si>
  <x:si>
    <x:t xml:space="preserve">21:01</x:t>
  </x:si>
  <x:si>
    <x:t xml:space="preserve">TD-EV-196</x:t>
  </x:si>
  <x:si>
    <x:t xml:space="preserve">TD-P-082</x:t>
  </x:si>
  <x:si>
    <x:t xml:space="preserve">20:31</x:t>
  </x:si>
  <x:si>
    <x:t xml:space="preserve">20:52</x:t>
  </x:si>
  <x:si>
    <x:t xml:space="preserve">TD-EV-199</x:t>
  </x:si>
  <x:si>
    <x:t xml:space="preserve">TD-P-083</x:t>
  </x:si>
  <x:si>
    <x:t xml:space="preserve">20:37</x:t>
  </x:si>
  <x:si>
    <x:t xml:space="preserve">20:54</x:t>
  </x:si>
  <x:si>
    <x:t xml:space="preserve">TD-EV-201</x:t>
  </x:si>
  <x:si>
    <x:t xml:space="preserve">TD-P-084</x:t>
  </x:si>
  <x:si>
    <x:t xml:space="preserve">20:41</x:t>
  </x:si>
  <x:si>
    <x:t xml:space="preserve">21:00</x:t>
  </x:si>
  <x:si>
    <x:t xml:space="preserve">TD-EV-205</x:t>
  </x:si>
  <x:si>
    <x:t xml:space="preserve">TD-E-024</x:t>
  </x:si>
  <x:si>
    <x:t xml:space="preserve">20:50</x:t>
  </x:si>
  <x:si>
    <x:t xml:space="preserve">21:04</x:t>
  </x:si>
  <x:si>
    <x:t xml:space="preserve">TD-EV-209</x:t>
  </x:si>
  <x:si>
    <x:t xml:space="preserve">TD-P-085</x:t>
  </x:si>
  <x:si>
    <x:t xml:space="preserve">21:12</x:t>
  </x:si>
  <x:si>
    <x:t xml:space="preserve">TD-EV-210</x:t>
  </x:si>
  <x:si>
    <x:t xml:space="preserve">TD-P-086</x:t>
  </x:si>
  <x:si>
    <x:t xml:space="preserve">21:02</x:t>
  </x:si>
  <x:si>
    <x:t xml:space="preserve">21:42</x:t>
  </x:si>
  <x:si>
    <x:t xml:space="preserve">TD-EV-215</x:t>
  </x:si>
  <x:si>
    <x:t xml:space="preserve">TD-P-087</x:t>
  </x:si>
  <x:si>
    <x:t xml:space="preserve">21:10</x:t>
  </x:si>
  <x:si>
    <x:t xml:space="preserve">21:18</x:t>
  </x:si>
  <x:si>
    <x:t xml:space="preserve">TD-EV-216</x:t>
  </x:si>
  <x:si>
    <x:t xml:space="preserve">TD-P-088</x:t>
  </x:si>
  <x:si>
    <x:t xml:space="preserve">21:14</x:t>
  </x:si>
  <x:si>
    <x:t xml:space="preserve">21:23</x:t>
  </x:si>
  <x:si>
    <x:t xml:space="preserve">TD-EV-218</x:t>
  </x:si>
  <x:si>
    <x:t xml:space="preserve">TD-P-089</x:t>
  </x:si>
  <x:si>
    <x:t xml:space="preserve">21:19</x:t>
  </x:si>
  <x:si>
    <x:t xml:space="preserve">21:26</x:t>
  </x:si>
  <x:si>
    <x:t xml:space="preserve">TD-EV-219</x:t>
  </x:si>
  <x:si>
    <x:t xml:space="preserve">TD-P-090</x:t>
  </x:si>
  <x:si>
    <x:t xml:space="preserve">21:33</x:t>
  </x:si>
  <x:si>
    <x:t xml:space="preserve">TD-EV-220</x:t>
  </x:si>
  <x:si>
    <x:t xml:space="preserve">TD-P-091</x:t>
  </x:si>
  <x:si>
    <x:t xml:space="preserve">21:22</x:t>
  </x:si>
  <x:si>
    <x:t xml:space="preserve">21:58</x:t>
  </x:si>
  <x:si>
    <x:t xml:space="preserve">TD-EV-221</x:t>
  </x:si>
  <x:si>
    <x:t xml:space="preserve">TD-P-092</x:t>
  </x:si>
  <x:si>
    <x:t xml:space="preserve">21:24</x:t>
  </x:si>
  <x:si>
    <x:t xml:space="preserve">22:05</x:t>
  </x:si>
  <x:si>
    <x:t xml:space="preserve">TD-EV-222</x:t>
  </x:si>
  <x:si>
    <x:t xml:space="preserve">TD-E-025</x:t>
  </x:si>
  <x:si>
    <x:t xml:space="preserve">21:25</x:t>
  </x:si>
  <x:si>
    <x:t xml:space="preserve">21:45</x:t>
  </x:si>
  <x:si>
    <x:t xml:space="preserve">TD-EV-223</x:t>
  </x:si>
  <x:si>
    <x:t xml:space="preserve">TD-P-093</x:t>
  </x:si>
  <x:si>
    <x:t xml:space="preserve">21:51</x:t>
  </x:si>
  <x:si>
    <x:t xml:space="preserve">TD-EV-226</x:t>
  </x:si>
  <x:si>
    <x:t xml:space="preserve">TD-P-094</x:t>
  </x:si>
  <x:si>
    <x:t xml:space="preserve">21:29</x:t>
  </x:si>
  <x:si>
    <x:t xml:space="preserve">21:34</x:t>
  </x:si>
  <x:si>
    <x:t xml:space="preserve">TD-EV-227</x:t>
  </x:si>
  <x:si>
    <x:t xml:space="preserve">TD-P-095</x:t>
  </x:si>
  <x:si>
    <x:t xml:space="preserve">21:53</x:t>
  </x:si>
  <x:si>
    <x:t xml:space="preserve">TD-EV-228</x:t>
  </x:si>
  <x:si>
    <x:t xml:space="preserve">TD-P-096</x:t>
  </x:si>
  <x:si>
    <x:t xml:space="preserve">TD-EV-229</x:t>
  </x:si>
  <x:si>
    <x:t xml:space="preserve">TD-E-026</x:t>
  </x:si>
  <x:si>
    <x:t xml:space="preserve">21:30</x:t>
  </x:si>
  <x:si>
    <x:t xml:space="preserve">21:55</x:t>
  </x:si>
  <x:si>
    <x:t xml:space="preserve">21:59</x:t>
  </x:si>
  <x:si>
    <x:t xml:space="preserve">TD-EV-230</x:t>
  </x:si>
  <x:si>
    <x:t xml:space="preserve">TD-P-097</x:t>
  </x:si>
  <x:si>
    <x:t xml:space="preserve">22:45</x:t>
  </x:si>
  <x:si>
    <x:t xml:space="preserve">TD-EV-232</x:t>
  </x:si>
  <x:si>
    <x:t xml:space="preserve">TD-P-098</x:t>
  </x:si>
  <x:si>
    <x:t xml:space="preserve">21:36</x:t>
  </x:si>
  <x:si>
    <x:t xml:space="preserve">TD-EV-233</x:t>
  </x:si>
  <x:si>
    <x:t xml:space="preserve">TD-P-099</x:t>
  </x:si>
  <x:si>
    <x:t xml:space="preserve">22:14</x:t>
  </x:si>
  <x:si>
    <x:t xml:space="preserve">TD-EV-234</x:t>
  </x:si>
  <x:si>
    <x:t xml:space="preserve">TD-P-100</x:t>
  </x:si>
  <x:si>
    <x:t xml:space="preserve">21:37</x:t>
  </x:si>
  <x:si>
    <x:t xml:space="preserve">TD-EV-237</x:t>
  </x:si>
  <x:si>
    <x:t xml:space="preserve">TD-P-101</x:t>
  </x:si>
  <x:si>
    <x:t xml:space="preserve">21:52</x:t>
  </x:si>
  <x:si>
    <x:t xml:space="preserve">22:18</x:t>
  </x:si>
  <x:si>
    <x:t xml:space="preserve">TD-EV-238</x:t>
  </x:si>
  <x:si>
    <x:t xml:space="preserve">TD-P-102</x:t>
  </x:si>
  <x:si>
    <x:t xml:space="preserve">21:43</x:t>
  </x:si>
  <x:si>
    <x:t xml:space="preserve">22:03</x:t>
  </x:si>
  <x:si>
    <x:t xml:space="preserve">TD-EV-240</x:t>
  </x:si>
  <x:si>
    <x:t xml:space="preserve">TD-P-103</x:t>
  </x:si>
  <x:si>
    <x:t xml:space="preserve">22:07</x:t>
  </x:si>
  <x:si>
    <x:t xml:space="preserve">TD-EV-241</x:t>
  </x:si>
  <x:si>
    <x:t xml:space="preserve">TD-P-104</x:t>
  </x:si>
  <x:si>
    <x:t xml:space="preserve">21:46</x:t>
  </x:si>
  <x:si>
    <x:t xml:space="preserve">21:54</x:t>
  </x:si>
  <x:si>
    <x:t xml:space="preserve">22:02</x:t>
  </x:si>
  <x:si>
    <x:t xml:space="preserve">TD-EV-242</x:t>
  </x:si>
  <x:si>
    <x:t xml:space="preserve">TD-P-105</x:t>
  </x:si>
  <x:si>
    <x:t xml:space="preserve">21:57</x:t>
  </x:si>
  <x:si>
    <x:t xml:space="preserve">22:13</x:t>
  </x:si>
  <x:si>
    <x:t xml:space="preserve">TD-EV-245</x:t>
  </x:si>
  <x:si>
    <x:t xml:space="preserve">TD-P-106</x:t>
  </x:si>
  <x:si>
    <x:t xml:space="preserve">22:27</x:t>
  </x:si>
  <x:si>
    <x:t xml:space="preserve">TD-EV-246</x:t>
  </x:si>
  <x:si>
    <x:t xml:space="preserve">TD-P-107</x:t>
  </x:si>
  <x:si>
    <x:t xml:space="preserve">22:00</x:t>
  </x:si>
  <x:si>
    <x:t xml:space="preserve">22:26</x:t>
  </x:si>
  <x:si>
    <x:t xml:space="preserve">TD-EV-247</x:t>
  </x:si>
  <x:si>
    <x:t xml:space="preserve">TD-P-108</x:t>
  </x:si>
  <x:si>
    <x:t xml:space="preserve">22:11</x:t>
  </x:si>
  <x:si>
    <x:t xml:space="preserve">TD-EV-248</x:t>
  </x:si>
  <x:si>
    <x:t xml:space="preserve">TD-P-109</x:t>
  </x:si>
  <x:si>
    <x:t xml:space="preserve">22:09</x:t>
  </x:si>
  <x:si>
    <x:t xml:space="preserve">22:22</x:t>
  </x:si>
  <x:si>
    <x:t xml:space="preserve">TD-EV-250</x:t>
  </x:si>
  <x:si>
    <x:t xml:space="preserve">TD-P-110</x:t>
  </x:si>
  <x:si>
    <x:t xml:space="preserve">TD-EV-255</x:t>
  </x:si>
  <x:si>
    <x:t xml:space="preserve">TD-P-111</x:t>
  </x:si>
  <x:si>
    <x:t xml:space="preserve">22:19</x:t>
  </x:si>
  <x:si>
    <x:t xml:space="preserve">22:34</x:t>
  </x:si>
  <x:si>
    <x:t xml:space="preserve">TD-EV-258</x:t>
  </x:si>
  <x:si>
    <x:t xml:space="preserve">TD-E-027</x:t>
  </x:si>
  <x:si>
    <x:t xml:space="preserve">22:23</x:t>
  </x:si>
  <x:si>
    <x:t xml:space="preserve">22:37</x:t>
  </x:si>
  <x:si>
    <x:t xml:space="preserve">22:54</x:t>
  </x:si>
  <x:si>
    <x:t xml:space="preserve">TD-EV-259</x:t>
  </x:si>
  <x:si>
    <x:t xml:space="preserve">TD-P-112</x:t>
  </x:si>
  <x:si>
    <x:t xml:space="preserve">22:24</x:t>
  </x:si>
  <x:si>
    <x:t xml:space="preserve">TD-EV-261</x:t>
  </x:si>
  <x:si>
    <x:t xml:space="preserve">TD-P-113</x:t>
  </x:si>
  <x:si>
    <x:t xml:space="preserve">22:25</x:t>
  </x:si>
  <x:si>
    <x:t xml:space="preserve">22:43</x:t>
  </x:si>
  <x:si>
    <x:t xml:space="preserve">TD-EV-262</x:t>
  </x:si>
  <x:si>
    <x:t xml:space="preserve">TD-P-114</x:t>
  </x:si>
  <x:si>
    <x:t xml:space="preserve">22:28</x:t>
  </x:si>
  <x:si>
    <x:t xml:space="preserve">22:36</x:t>
  </x:si>
  <x:si>
    <x:t xml:space="preserve">TD-EV-265</x:t>
  </x:si>
  <x:si>
    <x:t xml:space="preserve">TD-E-028</x:t>
  </x:si>
  <x:si>
    <x:t xml:space="preserve">22:33</x:t>
  </x:si>
  <x:si>
    <x:t xml:space="preserve">22:58</x:t>
  </x:si>
  <x:si>
    <x:t xml:space="preserve">TD-EV-271</x:t>
  </x:si>
  <x:si>
    <x:t xml:space="preserve">TD-E-029</x:t>
  </x:si>
  <x:si>
    <x:t xml:space="preserve">23:06</x:t>
  </x:si>
  <x:si>
    <x:t xml:space="preserve">TD-EV-273</x:t>
  </x:si>
  <x:si>
    <x:t xml:space="preserve">TD-P-115</x:t>
  </x:si>
  <x:si>
    <x:t xml:space="preserve">22:59</x:t>
  </x:si>
  <x:si>
    <x:t xml:space="preserve">23:14</x:t>
  </x:si>
  <x:si>
    <x:t xml:space="preserve">TD-EV-274</x:t>
  </x:si>
  <x:si>
    <x:t xml:space="preserve">TD-P-116</x:t>
  </x:si>
  <x:si>
    <x:t xml:space="preserve">23:21</x:t>
  </x:si>
  <x:si>
    <x:t xml:space="preserve">23:33</x:t>
  </x:si>
  <x:si>
    <x:t xml:space="preserve">TD-EV-275</x:t>
  </x:si>
  <x:si>
    <x:t xml:space="preserve">TD-E-030</x:t>
  </x:si>
  <x:si>
    <x:t xml:space="preserve">23:23</x:t>
  </x:si>
  <x:si>
    <x:t xml:space="preserve">23:27</x:t>
  </x:si>
  <x:si>
    <x:t xml:space="preserve">TD-EV-276</x:t>
  </x:si>
  <x:si>
    <x:t xml:space="preserve">TD-P-117</x:t>
  </x:si>
  <x:si>
    <x:t xml:space="preserve">23:35</x:t>
  </x:si>
  <x:si>
    <x:t xml:space="preserve">23:54</x:t>
  </x:si>
  <x:si>
    <x:t xml:space="preserve">TD-EV-277</x:t>
  </x:si>
  <x:si>
    <x:t xml:space="preserve">TD-P-118</x:t>
  </x:si>
  <x:si>
    <x:t xml:space="preserve">23:43</x:t>
  </x:si>
  <x:si>
    <x:t xml:space="preserve">00:02</x:t>
  </x:si>
</x:sst>
</file>

<file path=xl/styles.xml><?xml version="1.0" encoding="utf-8"?>
<x:styleSheet xmlns:x="http://schemas.openxmlformats.org/spreadsheetml/2006/main">
  <x:numFmts count="2">
    <x:numFmt numFmtId="164" formatCode="0.0000"/>
    <x:numFmt numFmtId="200" formatCode="h:mm"/>
  </x:numFmts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vertical="center"/>
    </x:xf>
    <x:xf numFmtId="1" fontId="0" fillId="0" borderId="1" xfId="0" applyNumberFormat="1" applyBorder="1" applyAlignment="1">
      <x:alignment vertical="center"/>
    </x:xf>
    <x:xf numFmtId="164" fontId="0" fillId="0" borderId="1" xfId="0" applyNumberFormat="1" applyBorder="1" applyAlignment="1">
      <x:alignment vertical="center"/>
    </x:xf>
    <x:xf numFmtId="2" fontId="0" fillId="0" borderId="1" xfId="0" applyNumberFormat="1" applyBorder="1" applyAlignment="1">
      <x:alignment vertical="center"/>
    </x:xf>
    <x:xf numFmtId="1" fontId="0" fillId="3" borderId="1" xfId="0" applyNumberFormat="1" applyFill="1" applyBorder="1" applyAlignment="1">
      <x:alignment vertical="center"/>
    </x:xf>
    <x:xf numFmtId="2" fontId="0" fillId="3" borderId="1" xfId="0" applyNumberFormat="1" applyFill="1" applyBorder="1" applyAlignment="1">
      <x:alignment vertical="center"/>
    </x:xf>
    <x:xf numFmtId="0" fontId="0" fillId="3" borderId="1" xfId="0" applyFill="1" applyBorder="1" applyAlignment="1">
      <x:alignment vertical="center"/>
    </x:xf>
    <x:xf numFmtId="20" fontId="0" fillId="0" borderId="1" xfId="0" applyNumberFormat="1" applyBorder="1" applyAlignment="1">
      <x:alignment vertical="center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/>
    </x:xf>
    <x:xf numFmtId="1" fontId="0" fillId="0" borderId="3" xfId="0" applyNumberFormat="1" applyFont="1" applyFill="1" applyBorder="1" applyAlignment="1">
      <x:alignment vertical="center"/>
    </x:xf>
    <x:xf numFmtId="164" fontId="0" fillId="0" borderId="3" xfId="0" applyNumberFormat="1" applyFont="1" applyFill="1" applyBorder="1" applyAlignment="1">
      <x:alignment vertical="center"/>
    </x:xf>
    <x:xf numFmtId="2" fontId="0" fillId="0" borderId="3" xfId="0" applyNumberFormat="1" applyFont="1" applyFill="1" applyBorder="1" applyAlignment="1">
      <x:alignment vertical="center"/>
    </x:xf>
    <x:xf numFmtId="1" fontId="0" fillId="3" borderId="3" xfId="0" applyNumberFormat="1" applyFont="1" applyFill="1" applyBorder="1" applyAlignment="1">
      <x:alignment vertical="center"/>
    </x:xf>
    <x:xf numFmtId="2" fontId="0" fillId="3" borderId="3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20" fontId="0" fillId="0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aa85873394c54" /><Relationship Type="http://schemas.openxmlformats.org/officeDocument/2006/relationships/theme" Target="/xl/theme/theme1.xml" Id="Rf2acbebf5d9f4410" /><Relationship Type="http://schemas.openxmlformats.org/officeDocument/2006/relationships/sharedStrings" Target="/xl/sharedStrings.xml" Id="R436d6ef1c7e4406d" /><Relationship Type="http://schemas.openxmlformats.org/officeDocument/2006/relationships/worksheet" Target="/xl/worksheets/sheet1.xml" Id="R162245913d8c4a3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60" max="60" width="25" hidden="0" customWidth="1"/>
    <x:col min="61" max="61" width="25" hidden="0" customWidth="1"/>
  </x:cols>
  <x:sheetData>
    <x:row r="1" ht="7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24" t="str">
        <x:v>Elastic_Window_Start_Time</x:v>
      </x:c>
      <x:c r="BI1" s="24" t="str">
        <x:v>Elastic_Window_End_Time</x:v>
      </x:c>
    </x:row>
    <x:row r="2">
      <x:c r="A2" s="2" t="s">
        <x:v>59</x:v>
      </x:c>
      <x:c r="B2" s="3">
        <x:v>1</x:v>
      </x:c>
      <x:c r="C2" s="2" t="s">
        <x:v>60</x:v>
      </x:c>
      <x:c r="D2" s="2" t="s">
        <x:v>61</x:v>
      </x:c>
      <x:c r="E2" s="2" t="s">
        <x:v>62</x:v>
      </x:c>
      <x:c r="F2" s="2" t="s">
        <x:v>63</x:v>
      </x:c>
      <x:c r="G2" s="3">
        <x:v>1</x:v>
      </x:c>
      <x:c r="H2" s="3">
        <x:v>0</x:v>
      </x:c>
      <x:c r="I2" s="3">
        <x:v>120</x:v>
      </x:c>
      <x:c r="J2" s="4">
        <x:v>4.6511627906976744E-3</x:v>
      </x:c>
      <x:c r="K2" s="3">
        <x:v>0</x:v>
      </x:c>
      <x:c r="L2" s="2" t="s">
        <x:v>64</x:v>
      </x:c>
      <x:c r="M2" s="3">
        <x:v>4</x:v>
      </x:c>
      <x:c r="N2" s="3">
        <x:v>1</x:v>
      </x:c>
      <x:c r="O2" s="5">
        <x:v>160.6833731284934</x:v>
      </x:c>
      <x:c r="P2" s="5">
        <x:v>37.657248405423239</x:v>
      </x:c>
      <x:c r="Q2" s="5"/>
      <x:c r="R2" s="5">
        <x:v>96.051656554956608</x:v>
      </x:c>
      <x:c r="S2" s="5" t="n">
        <x:f t="shared" ref="S2:S65" si="0">O2*(R2-P2)/100</x:f>
        <x:v>93.83010473309007</x:v>
      </x:c>
      <x:c r="T2" s="5" t="n">
        <x:f t="shared" ref="T2:T65" si="1">O2*(R2-IF(Q2="",P2,Q2))/100</x:f>
        <x:v>93.83010473309007</x:v>
      </x:c>
      <x:c r="U2" s="5" t="e">
        <x:f>T2/[1]Model_Parameters!$B$22</x:f>
        <x:v>#NAME?</x:v>
      </x:c>
      <x:c r="V2" s="5">
        <x:v>352.69232560586278</x:v>
      </x:c>
      <x:c r="W2" s="5">
        <x:v>352.69232560586278</x:v>
      </x:c>
      <x:c r="X2" s="5">
        <x:v>94.327831960125437</x:v>
      </x:c>
      <x:c r="Y2" s="3">
        <x:v>3</x:v>
      </x:c>
      <x:c r="Z2" s="3">
        <x:v>0</x:v>
      </x:c>
      <x:c r="AA2" s="3"/>
      <x:c r="AB2" s="2"/>
      <x:c r="AC2" s="3"/>
      <x:c r="AD2" s="3"/>
      <x:c r="AE2" s="2" t="s">
        <x:v>65</x:v>
      </x:c>
      <x:c r="AF2" s="3">
        <x:v>6</x:v>
      </x:c>
      <x:c r="AG2" s="3">
        <x:v>0</x:v>
      </x:c>
      <x:c r="AH2" s="2" t="s">
        <x:v>64</x:v>
      </x:c>
      <x:c r="AI2" s="3">
        <x:v>1</x:v>
      </x:c>
      <x:c r="AJ2" s="3">
        <x:v>0</x:v>
      </x:c>
      <x:c r="AK2" s="2" t="s">
        <x:v>66</x:v>
      </x:c>
      <x:c r="AL2" s="3">
        <x:v>0</x:v>
      </x:c>
      <x:c r="AM2" s="2" t="s">
        <x:v>67</x:v>
      </x:c>
      <x:c r="AN2" s="3">
        <x:v>3</x:v>
      </x:c>
      <x:c r="AO2" s="3">
        <x:v>30</x:v>
      </x:c>
      <x:c r="AP2" s="3">
        <x:v>30</x:v>
      </x:c>
      <x:c r="AQ2" s="5">
        <x:v>99.472343192149452</x:v>
      </x:c>
      <x:c r="AR2" s="5">
        <x:v>93.830104733090053</x:v>
      </x:c>
      <x:c r="AS2" s="5" t="n">
        <x:f t="shared" ref="AS2:AS65" si="2">IF(S2=0,100,IFERROR(AR2/S2*100,0))</x:f>
        <x:v>99.99999999999999</x:v>
      </x:c>
      <x:c r="AT2" s="5">
        <x:v>198.9446863842989</x:v>
      </x:c>
      <x:c r="AU2" s="5">
        <x:v>352.69232560586272</x:v>
      </x:c>
      <x:c r="AV2" s="5">
        <x:v>96.051656554956608</x:v>
      </x:c>
      <x:c r="AW2" s="2" t="b">
        <x:v>0</x:v>
      </x:c>
      <x:c r="AX2" s="2"/>
      <x:c r="AY2" s="2" t="s">
        <x:v>68</x:v>
      </x:c>
      <x:c r="AZ2" s="6">
        <x:v>1</x:v>
      </x:c>
      <x:c r="BA2" s="6"/>
      <x:c r="BB2" s="7"/>
      <x:c r="BC2" s="7"/>
      <x:c r="BD2" s="8"/>
      <x:c r="BE2" s="2" t="e">
        <x:f>IF(AE2="Blocked","No",IF(AJ2&lt;=[1]Model_Parameters!$B$20,"Yes","No"))</x:f>
        <x:v>#NAME?</x:v>
      </x:c>
      <x:c r="BF2" s="2" t="str">
        <x:f t="shared" ref="BF2:BF65" si="3">IF(AK2="Completed","Yes","No")</x:f>
        <x:v>Yes</x:v>
      </x:c>
      <x:c r="BG2" s="2" t="e">
        <x:f t="shared" ref="BG2:BG65" si="4">IF(AND(BE2="Yes",BF2="Yes"),"Yes","No")</x:f>
        <x:v>#NAME?</x:v>
      </x:c>
      <x:c r="BH2" s="24"/>
      <x:c r="BI2" s="24"/>
    </x:row>
    <x:row r="3">
      <x:c r="A3" s="2" t="s">
        <x:v>59</x:v>
      </x:c>
      <x:c r="B3" s="3">
        <x:v>2</x:v>
      </x:c>
      <x:c r="C3" s="2" t="s">
        <x:v>69</x:v>
      </x:c>
      <x:c r="D3" s="2" t="s">
        <x:v>70</x:v>
      </x:c>
      <x:c r="E3" s="2" t="s">
        <x:v>62</x:v>
      </x:c>
      <x:c r="F3" s="2" t="s">
        <x:v>63</x:v>
      </x:c>
      <x:c r="G3" s="3">
        <x:v>2</x:v>
      </x:c>
      <x:c r="H3" s="3">
        <x:v>0</x:v>
      </x:c>
      <x:c r="I3" s="3">
        <x:v>120</x:v>
      </x:c>
      <x:c r="J3" s="4">
        <x:v>6.9767441860465124E-3</x:v>
      </x:c>
      <x:c r="K3" s="3">
        <x:v>0</x:v>
      </x:c>
      <x:c r="L3" s="2" t="s">
        <x:v>71</x:v>
      </x:c>
      <x:c r="M3" s="3">
        <x:v>62</x:v>
      </x:c>
      <x:c r="N3" s="3">
        <x:v>5</x:v>
      </x:c>
      <x:c r="O3" s="5">
        <x:v>76.155687138484836</x:v>
      </x:c>
      <x:c r="P3" s="5">
        <x:v>31.850319582943051</x:v>
      </x:c>
      <x:c r="Q3" s="5"/>
      <x:c r="R3" s="5">
        <x:v>84.434465059834267</x:v>
      </x:c>
      <x:c r="S3" s="5">
        <x:f t="shared" si="0"/>
        <x:v>40.045817313827001</x:v>
      </x:c>
      <x:c r="T3" s="5">
        <x:f t="shared" si="1"/>
        <x:v>40.045817313827001</x:v>
      </x:c>
      <x:c r="U3" s="5" t="e">
        <x:f>T3/[1]Model_Parameters!$B$22</x:f>
        <x:v>#NAME?</x:v>
      </x:c>
      <x:c r="V3" s="5">
        <x:v>191.83372210004839</x:v>
      </x:c>
      <x:c r="W3" s="5">
        <x:v>191.83372210004839</x:v>
      </x:c>
      <x:c r="X3" s="5">
        <x:v>93.764795044150546</x:v>
      </x:c>
      <x:c r="Y3" s="3">
        <x:v>0</x:v>
      </x:c>
      <x:c r="Z3" s="3">
        <x:v>0</x:v>
      </x:c>
      <x:c r="AA3" s="3"/>
      <x:c r="AB3" s="2"/>
      <x:c r="AC3" s="3"/>
      <x:c r="AD3" s="3"/>
      <x:c r="AE3" s="2" t="s">
        <x:v>65</x:v>
      </x:c>
      <x:c r="AF3" s="3">
        <x:v>7</x:v>
      </x:c>
      <x:c r="AG3" s="3">
        <x:v>0</x:v>
      </x:c>
      <x:c r="AH3" s="2" t="s">
        <x:v>71</x:v>
      </x:c>
      <x:c r="AI3" s="3">
        <x:v>5</x:v>
      </x:c>
      <x:c r="AJ3" s="3">
        <x:v>0</x:v>
      </x:c>
      <x:c r="AK3" s="2" t="s">
        <x:v>66</x:v>
      </x:c>
      <x:c r="AL3" s="3">
        <x:v>0</x:v>
      </x:c>
      <x:c r="AM3" s="2" t="s">
        <x:v>72</x:v>
      </x:c>
      <x:c r="AN3" s="3">
        <x:v>6</x:v>
      </x:c>
      <x:c r="AO3" s="3">
        <x:v>16</x:v>
      </x:c>
      <x:c r="AP3" s="3">
        <x:v>16</x:v>
      </x:c>
      <x:c r="AQ3" s="5">
        <x:v>42.70879843012596</x:v>
      </x:c>
      <x:c r="AR3" s="5">
        <x:v>40.045817313826987</x:v>
      </x:c>
      <x:c r="AS3" s="5">
        <x:f t="shared" si="2"/>
        <x:v>99.999999999999972</x:v>
      </x:c>
      <x:c r="AT3" s="5">
        <x:v>160.15799411297229</x:v>
      </x:c>
      <x:c r="AU3" s="5">
        <x:v>191.83372210004839</x:v>
      </x:c>
      <x:c r="AV3" s="5">
        <x:v>84.434465059834267</x:v>
      </x:c>
      <x:c r="AW3" s="2" t="b">
        <x:v>0</x:v>
      </x:c>
      <x:c r="AX3" s="2"/>
      <x:c r="AY3" s="2" t="s">
        <x:v>68</x:v>
      </x:c>
      <x:c r="AZ3" s="6">
        <x:v>5</x:v>
      </x:c>
      <x:c r="BA3" s="6"/>
      <x:c r="BB3" s="7"/>
      <x:c r="BC3" s="7"/>
      <x:c r="BD3" s="8"/>
      <x:c r="BE3" s="2" t="e">
        <x:f>IF(AE3="Blocked","No",IF(AJ3&lt;=[1]Model_Parameters!$B$20,"Yes","No"))</x:f>
        <x:v>#NAME?</x:v>
      </x:c>
      <x:c r="BF3" s="2" t="str">
        <x:f t="shared" si="3"/>
        <x:v>Yes</x:v>
      </x:c>
      <x:c r="BG3" s="2" t="str">
        <x:f t="shared" si="4"/>
        <x:v>Yes</x:v>
      </x:c>
      <x:c r="BH3" s="24"/>
      <x:c r="BI3" s="24"/>
    </x:row>
    <x:row r="4">
      <x:c r="A4" s="2" t="s">
        <x:v>59</x:v>
      </x:c>
      <x:c r="B4" s="3">
        <x:v>8</x:v>
      </x:c>
      <x:c r="C4" s="2" t="s">
        <x:v>73</x:v>
      </x:c>
      <x:c r="D4" s="2" t="s">
        <x:v>74</x:v>
      </x:c>
      <x:c r="E4" s="2" t="s">
        <x:v>62</x:v>
      </x:c>
      <x:c r="F4" s="2" t="s">
        <x:v>63</x:v>
      </x:c>
      <x:c r="G4" s="3">
        <x:v>3</x:v>
      </x:c>
      <x:c r="H4" s="3">
        <x:v>0</x:v>
      </x:c>
      <x:c r="I4" s="3">
        <x:v>120</x:v>
      </x:c>
      <x:c r="J4" s="4">
        <x:v>1.7441860465116279E-2</x:v>
      </x:c>
      <x:c r="K4" s="3">
        <x:v>0</x:v>
      </x:c>
      <x:c r="L4" s="2" t="s">
        <x:v>75</x:v>
      </x:c>
      <x:c r="M4" s="3">
        <x:v>221</x:v>
      </x:c>
      <x:c r="N4" s="3">
        <x:v>15</x:v>
      </x:c>
      <x:c r="O4" s="5">
        <x:v>107.9830175184489</x:v>
      </x:c>
      <x:c r="P4" s="5">
        <x:v>17.168163637979131</x:v>
      </x:c>
      <x:c r="Q4" s="5"/>
      <x:c r="R4" s="5">
        <x:v>79.222689512171058</x:v>
      </x:c>
      <x:c r="S4" s="5">
        <x:f t="shared" si="0"/>
        <x:v>67.008349545719071</x:v>
      </x:c>
      <x:c r="T4" s="5">
        <x:f t="shared" si="1"/>
        <x:v>67.008349545719071</x:v>
      </x:c>
      <x:c r="U4" s="5" t="e">
        <x:f>T4/[1]Model_Parameters!$B$22</x:f>
        <x:v>#NAME?</x:v>
      </x:c>
      <x:c r="V4" s="5">
        <x:v>156.13579510278279</x:v>
      </x:c>
      <x:c r="W4" s="5">
        <x:v>156.13579510278279</x:v>
      </x:c>
      <x:c r="X4" s="5">
        <x:v>93.079323964035311</x:v>
      </x:c>
      <x:c r="Y4" s="3">
        <x:v>0</x:v>
      </x:c>
      <x:c r="Z4" s="3">
        <x:v>0</x:v>
      </x:c>
      <x:c r="AA4" s="3"/>
      <x:c r="AB4" s="2"/>
      <x:c r="AC4" s="3"/>
      <x:c r="AD4" s="3"/>
      <x:c r="AE4" s="2" t="s">
        <x:v>65</x:v>
      </x:c>
      <x:c r="AF4" s="3">
        <x:v>3</x:v>
      </x:c>
      <x:c r="AG4" s="3">
        <x:v>0</x:v>
      </x:c>
      <x:c r="AH4" s="2" t="s">
        <x:v>75</x:v>
      </x:c>
      <x:c r="AI4" s="3">
        <x:v>15</x:v>
      </x:c>
      <x:c r="AJ4" s="3">
        <x:v>0</x:v>
      </x:c>
      <x:c r="AK4" s="2" t="s">
        <x:v>66</x:v>
      </x:c>
      <x:c r="AL4" s="3">
        <x:v>0</x:v>
      </x:c>
      <x:c r="AM4" s="2" t="s">
        <x:v>76</x:v>
      </x:c>
      <x:c r="AN4" s="3">
        <x:v>17</x:v>
      </x:c>
      <x:c r="AO4" s="3">
        <x:v>30</x:v>
      </x:c>
      <x:c r="AP4" s="3">
        <x:v>30</x:v>
      </x:c>
      <x:c r="AQ4" s="5">
        <x:v>71.990584688400062</x:v>
      </x:c>
      <x:c r="AR4" s="5">
        <x:v>67.008349545719071</x:v>
      </x:c>
      <x:c r="AS4" s="5">
        <x:f t="shared" si="2"/>
        <x:v>100</x:v>
      </x:c>
      <x:c r="AT4" s="5">
        <x:v>143.9811693768001</x:v>
      </x:c>
      <x:c r="AU4" s="5">
        <x:v>156.13579510278279</x:v>
      </x:c>
      <x:c r="AV4" s="5">
        <x:v>79.222689512171058</x:v>
      </x:c>
      <x:c r="AW4" s="2" t="b">
        <x:v>0</x:v>
      </x:c>
      <x:c r="AX4" s="2"/>
      <x:c r="AY4" s="2" t="s">
        <x:v>68</x:v>
      </x:c>
      <x:c r="AZ4" s="6">
        <x:v>15</x:v>
      </x:c>
      <x:c r="BA4" s="6"/>
      <x:c r="BB4" s="7"/>
      <x:c r="BC4" s="7"/>
      <x:c r="BD4" s="8"/>
      <x:c r="BE4" s="2" t="e">
        <x:f>IF(AE4="Blocked","No",IF(AJ4&lt;=[1]Model_Parameters!$B$20,"Yes","No"))</x:f>
        <x:v>#NAME?</x:v>
      </x:c>
      <x:c r="BF4" s="2" t="str">
        <x:f t="shared" si="3"/>
        <x:v>Yes</x:v>
      </x:c>
      <x:c r="BG4" s="2" t="str">
        <x:f t="shared" si="4"/>
        <x:v>Yes</x:v>
      </x:c>
      <x:c r="BH4" s="24"/>
      <x:c r="BI4" s="24"/>
    </x:row>
    <x:row r="5">
      <x:c r="A5" s="2" t="s">
        <x:v>59</x:v>
      </x:c>
      <x:c r="B5" s="3">
        <x:v>12</x:v>
      </x:c>
      <x:c r="C5" s="2" t="s">
        <x:v>77</x:v>
      </x:c>
      <x:c r="D5" s="2" t="s">
        <x:v>78</x:v>
      </x:c>
      <x:c r="E5" s="2" t="s">
        <x:v>79</x:v>
      </x:c>
      <x:c r="F5" s="2" t="s">
        <x:v>80</x:v>
      </x:c>
      <x:c r="G5" s="3">
        <x:v>1</x:v>
      </x:c>
      <x:c r="H5" s="3">
        <x:v>1</x:v>
      </x:c>
      <x:c r="I5" s="3">
        <x:v>30</x:v>
      </x:c>
      <x:c r="J5" s="4">
        <x:v>1.8315018315018309E-2</x:v>
      </x:c>
      <x:c r="K5" s="3">
        <x:v>0</x:v>
      </x:c>
      <x:c r="L5" s="25">
        <x:v>0.20138888888888887</x:v>
      </x:c>
      <x:c r="M5" s="3">
        <x:v>290</x:v>
      </x:c>
      <x:c r="N5" s="3">
        <x:v>20</x:v>
      </x:c>
      <x:c r="O5" s="5">
        <x:v>99.413309615418669</x:v>
      </x:c>
      <x:c r="P5" s="5">
        <x:v>15.657220784931731</x:v>
      </x:c>
      <x:c r="Q5" s="5"/>
      <x:c r="R5" s="5">
        <x:v>69.433758475754331</x:v>
      </x:c>
      <x:c r="S5" s="5">
        <x:f t="shared" si="0"/>
        <x:v>53.46103591502979</x:v>
      </x:c>
      <x:c r="T5" s="5">
        <x:f t="shared" si="1"/>
        <x:v>53.46103591502979</x:v>
      </x:c>
      <x:c r="U5" s="5" t="e">
        <x:f>T5/[1]Model_Parameters!$B$22</x:f>
        <x:v>#NAME?</x:v>
      </x:c>
      <x:c r="V5" s="5">
        <x:v>362.87169714231823</x:v>
      </x:c>
      <x:c r="W5" s="5">
        <x:v>362.87169714231823</x:v>
      </x:c>
      <x:c r="X5" s="5">
        <x:v>94.996497594543101</x:v>
      </x:c>
      <x:c r="Y5" s="3">
        <x:v>0</x:v>
      </x:c>
      <x:c r="Z5" s="3">
        <x:v>0</x:v>
      </x:c>
      <x:c r="AA5" s="3"/>
      <x:c r="AB5" s="2"/>
      <x:c r="AC5" s="3"/>
      <x:c r="AD5" s="3"/>
      <x:c r="AE5" s="2" t="s">
        <x:v>65</x:v>
      </x:c>
      <x:c r="AF5" s="3">
        <x:v>7</x:v>
      </x:c>
      <x:c r="AG5" s="3">
        <x:v>0</x:v>
      </x:c>
      <x:c r="AH5" s="2" t="s">
        <x:v>81</x:v>
      </x:c>
      <x:c r="AI5" s="3">
        <x:v>20</x:v>
      </x:c>
      <x:c r="AJ5" s="3">
        <x:v>0</x:v>
      </x:c>
      <x:c r="AK5" s="2" t="s">
        <x:v>66</x:v>
      </x:c>
      <x:c r="AL5" s="3">
        <x:v>0</x:v>
      </x:c>
      <x:c r="AM5" s="2" t="s">
        <x:v>82</x:v>
      </x:c>
      <x:c r="AN5" s="3">
        <x:v>21</x:v>
      </x:c>
      <x:c r="AO5" s="3">
        <x:v>10</x:v>
      </x:c>
      <x:c r="AP5" s="3">
        <x:v>10</x:v>
      </x:c>
      <x:c r="AQ5" s="5">
        <x:v>56.2768494299739</x:v>
      </x:c>
      <x:c r="AR5" s="5">
        <x:v>53.461035915029797</x:v>
      </x:c>
      <x:c r="AS5" s="5">
        <x:f t="shared" si="2"/>
        <x:v>100.00000000000003</x:v>
      </x:c>
      <x:c r="AT5" s="5">
        <x:v>337.66109657984339</x:v>
      </x:c>
      <x:c r="AU5" s="5">
        <x:v>362.87169714231823</x:v>
      </x:c>
      <x:c r="AV5" s="5">
        <x:v>69.433758475754331</x:v>
      </x:c>
      <x:c r="AW5" s="2" t="b">
        <x:v>0</x:v>
      </x:c>
      <x:c r="AX5" s="2"/>
      <x:c r="AY5" s="2" t="s">
        <x:v>83</x:v>
      </x:c>
      <x:c r="AZ5" s="6">
        <x:v>20</x:v>
      </x:c>
      <x:c r="BA5" s="6"/>
      <x:c r="BB5" s="7"/>
      <x:c r="BC5" s="7"/>
      <x:c r="BD5" s="8"/>
      <x:c r="BE5" s="2" t="e">
        <x:f>IF(AE5="Blocked","No",IF(AJ5&lt;=[1]Model_Parameters!$B$20,"Yes","No"))</x:f>
        <x:v>#NAME?</x:v>
      </x:c>
      <x:c r="BF5" s="2" t="str">
        <x:f t="shared" si="3"/>
        <x:v>Yes</x:v>
      </x:c>
      <x:c r="BG5" s="2" t="str">
        <x:f t="shared" si="4"/>
        <x:v>Yes</x:v>
      </x:c>
      <x:c r="BH5" s="24" t="str">
        <x:v>02:45</x:v>
      </x:c>
      <x:c r="BI5" s="24" t="str">
        <x:v>09:00</x:v>
      </x:c>
    </x:row>
    <x:row r="6">
      <x:c r="A6" s="2" t="s">
        <x:v>59</x:v>
      </x:c>
      <x:c r="B6" s="3">
        <x:v>15</x:v>
      </x:c>
      <x:c r="C6" s="2" t="s">
        <x:v>84</x:v>
      </x:c>
      <x:c r="D6" s="2" t="s">
        <x:v>85</x:v>
      </x:c>
      <x:c r="E6" s="2" t="s">
        <x:v>62</x:v>
      </x:c>
      <x:c r="F6" s="2" t="s">
        <x:v>63</x:v>
      </x:c>
      <x:c r="G6" s="3">
        <x:v>4</x:v>
      </x:c>
      <x:c r="H6" s="3">
        <x:v>0</x:v>
      </x:c>
      <x:c r="I6" s="3">
        <x:v>120</x:v>
      </x:c>
      <x:c r="J6" s="4">
        <x:v>9.3023255813953487E-2</x:v>
      </x:c>
      <x:c r="K6" s="3">
        <x:v>0</x:v>
      </x:c>
      <x:c r="L6" s="2" t="s">
        <x:v>86</x:v>
      </x:c>
      <x:c r="M6" s="3">
        <x:v>303</x:v>
      </x:c>
      <x:c r="N6" s="3">
        <x:v>21</x:v>
      </x:c>
      <x:c r="O6" s="5">
        <x:v>112.9455067413396</x:v>
      </x:c>
      <x:c r="P6" s="5">
        <x:v>36.330384387193249</x:v>
      </x:c>
      <x:c r="Q6" s="5"/>
      <x:c r="R6" s="5">
        <x:v>91.581283701636849</x:v>
      </x:c>
      <x:c r="S6" s="5">
        <x:f t="shared" si="0"/>
        <x:v>62.403408209845651</x:v>
      </x:c>
      <x:c r="T6" s="5">
        <x:f t="shared" si="1"/>
        <x:v>62.403408209845651</x:v>
      </x:c>
      <x:c r="U6" s="5" t="e">
        <x:f>T6/[1]Model_Parameters!$B$22</x:f>
        <x:v>#NAME?</x:v>
      </x:c>
      <x:c r="V6" s="5">
        <x:v>247.42816861727459</x:v>
      </x:c>
      <x:c r="W6" s="5">
        <x:v>247.42816861727459</x:v>
      </x:c>
      <x:c r="X6" s="5">
        <x:v>94.287859930443105</x:v>
      </x:c>
      <x:c r="Y6" s="3">
        <x:v>1</x:v>
      </x:c>
      <x:c r="Z6" s="3">
        <x:v>0</x:v>
      </x:c>
      <x:c r="AA6" s="3"/>
      <x:c r="AB6" s="2"/>
      <x:c r="AC6" s="3"/>
      <x:c r="AD6" s="3"/>
      <x:c r="AE6" s="2" t="s">
        <x:v>65</x:v>
      </x:c>
      <x:c r="AF6" s="3">
        <x:v>10</x:v>
      </x:c>
      <x:c r="AG6" s="3">
        <x:v>0</x:v>
      </x:c>
      <x:c r="AH6" s="2" t="s">
        <x:v>86</x:v>
      </x:c>
      <x:c r="AI6" s="3">
        <x:v>21</x:v>
      </x:c>
      <x:c r="AJ6" s="3">
        <x:v>0</x:v>
      </x:c>
      <x:c r="AK6" s="2" t="s">
        <x:v>66</x:v>
      </x:c>
      <x:c r="AL6" s="3">
        <x:v>0</x:v>
      </x:c>
      <x:c r="AM6" s="2" t="s">
        <x:v>87</x:v>
      </x:c>
      <x:c r="AN6" s="3">
        <x:v>22</x:v>
      </x:c>
      <x:c r="AO6" s="3">
        <x:v>24</x:v>
      </x:c>
      <x:c r="AP6" s="3">
        <x:v>24</x:v>
      </x:c>
      <x:c r="AQ6" s="5">
        <x:v>66.18392681293345</x:v>
      </x:c>
      <x:c r="AR6" s="5">
        <x:v>62.403408209845658</x:v>
      </x:c>
      <x:c r="AS6" s="5">
        <x:f t="shared" si="2"/>
        <x:v>100.00000000000003</x:v>
      </x:c>
      <x:c r="AT6" s="5">
        <x:v>165.4598170323336</x:v>
      </x:c>
      <x:c r="AU6" s="5">
        <x:v>247.42816861727459</x:v>
      </x:c>
      <x:c r="AV6" s="5">
        <x:v>91.581283701636849</x:v>
      </x:c>
      <x:c r="AW6" s="2" t="b">
        <x:v>0</x:v>
      </x:c>
      <x:c r="AX6" s="2"/>
      <x:c r="AY6" s="2" t="s">
        <x:v>68</x:v>
      </x:c>
      <x:c r="AZ6" s="6">
        <x:v>21</x:v>
      </x:c>
      <x:c r="BA6" s="6"/>
      <x:c r="BB6" s="7"/>
      <x:c r="BC6" s="7"/>
      <x:c r="BD6" s="8"/>
      <x:c r="BE6" s="2" t="e">
        <x:f>IF(AE6="Blocked","No",IF(AJ6&lt;=[1]Model_Parameters!$B$20,"Yes","No"))</x:f>
        <x:v>#NAME?</x:v>
      </x:c>
      <x:c r="BF6" s="2" t="str">
        <x:f t="shared" si="3"/>
        <x:v>Yes</x:v>
      </x:c>
      <x:c r="BG6" s="2" t="str">
        <x:f t="shared" si="4"/>
        <x:v>Yes</x:v>
      </x:c>
      <x:c r="BH6" s="24"/>
      <x:c r="BI6" s="24"/>
    </x:row>
    <x:row r="7">
      <x:c r="A7" s="2" t="s">
        <x:v>59</x:v>
      </x:c>
      <x:c r="B7" s="3">
        <x:v>16</x:v>
      </x:c>
      <x:c r="C7" s="2" t="s">
        <x:v>88</x:v>
      </x:c>
      <x:c r="D7" s="2" t="s">
        <x:v>89</x:v>
      </x:c>
      <x:c r="E7" s="2" t="s">
        <x:v>62</x:v>
      </x:c>
      <x:c r="F7" s="2" t="s">
        <x:v>63</x:v>
      </x:c>
      <x:c r="G7" s="3">
        <x:v>5</x:v>
      </x:c>
      <x:c r="H7" s="3">
        <x:v>0</x:v>
      </x:c>
      <x:c r="I7" s="3">
        <x:v>120</x:v>
      </x:c>
      <x:c r="J7" s="4">
        <x:v>9.3023255813953487E-2</x:v>
      </x:c>
      <x:c r="K7" s="3">
        <x:v>0</x:v>
      </x:c>
      <x:c r="L7" s="2" t="s">
        <x:v>90</x:v>
      </x:c>
      <x:c r="M7" s="3">
        <x:v>304</x:v>
      </x:c>
      <x:c r="N7" s="3">
        <x:v>21</x:v>
      </x:c>
      <x:c r="O7" s="5">
        <x:v>61.637793403958042</x:v>
      </x:c>
      <x:c r="P7" s="5">
        <x:v>33.29114013239284</x:v>
      </x:c>
      <x:c r="Q7" s="5"/>
      <x:c r="R7" s="5">
        <x:v>77.286688452301178</x:v>
      </x:c>
      <x:c r="S7" s="5">
        <x:f t="shared" si="0"/>
        <x:v>27.117885180363633</x:v>
      </x:c>
      <x:c r="T7" s="5">
        <x:f t="shared" si="1"/>
        <x:v>27.117885180363633</x:v>
      </x:c>
      <x:c r="U7" s="5" t="e">
        <x:f>T7/[1]Model_Parameters!$B$22</x:f>
        <x:v>#NAME?</x:v>
      </x:c>
      <x:c r="V7" s="5">
        <x:v>417.72710013620588</x:v>
      </x:c>
      <x:c r="W7" s="5">
        <x:v>417.72710013620588</x:v>
      </x:c>
      <x:c r="X7" s="5">
        <x:v>91.714515773099222</x:v>
      </x:c>
      <x:c r="Y7" s="3">
        <x:v>2</x:v>
      </x:c>
      <x:c r="Z7" s="3">
        <x:v>0</x:v>
      </x:c>
      <x:c r="AA7" s="3"/>
      <x:c r="AB7" s="2"/>
      <x:c r="AC7" s="3"/>
      <x:c r="AD7" s="3"/>
      <x:c r="AE7" s="2" t="s">
        <x:v>65</x:v>
      </x:c>
      <x:c r="AF7" s="3">
        <x:v>1</x:v>
      </x:c>
      <x:c r="AG7" s="3">
        <x:v>0</x:v>
      </x:c>
      <x:c r="AH7" s="2" t="s">
        <x:v>90</x:v>
      </x:c>
      <x:c r="AI7" s="3">
        <x:v>21</x:v>
      </x:c>
      <x:c r="AJ7" s="3">
        <x:v>0</x:v>
      </x:c>
      <x:c r="AK7" s="2" t="s">
        <x:v>66</x:v>
      </x:c>
      <x:c r="AL7" s="3">
        <x:v>0</x:v>
      </x:c>
      <x:c r="AM7" s="2" t="s">
        <x:v>91</x:v>
      </x:c>
      <x:c r="AN7" s="3">
        <x:v>21</x:v>
      </x:c>
      <x:c r="AO7" s="3">
        <x:v>5</x:v>
      </x:c>
      <x:c r="AP7" s="3">
        <x:v>5</x:v>
      </x:c>
      <x:c r="AQ7" s="5">
        <x:v>29.567713411313221</x:v>
      </x:c>
      <x:c r="AR7" s="5">
        <x:v>27.11788518036364</x:v>
      </x:c>
      <x:c r="AS7" s="5">
        <x:f t="shared" si="2"/>
        <x:v>100.00000000000003</x:v>
      </x:c>
      <x:c r="AT7" s="5">
        <x:v>354.81256093575871</x:v>
      </x:c>
      <x:c r="AU7" s="5">
        <x:v>417.72710013620588</x:v>
      </x:c>
      <x:c r="AV7" s="5">
        <x:v>77.286688452301178</x:v>
      </x:c>
      <x:c r="AW7" s="2" t="b">
        <x:v>0</x:v>
      </x:c>
      <x:c r="AX7" s="2"/>
      <x:c r="AY7" s="2" t="s">
        <x:v>68</x:v>
      </x:c>
      <x:c r="AZ7" s="6">
        <x:v>21</x:v>
      </x:c>
      <x:c r="BA7" s="6"/>
      <x:c r="BB7" s="7"/>
      <x:c r="BC7" s="7"/>
      <x:c r="BD7" s="8"/>
      <x:c r="BE7" s="2" t="e">
        <x:f>IF(AE7="Blocked","No",IF(AJ7&lt;=[1]Model_Parameters!$B$20,"Yes","No"))</x:f>
        <x:v>#NAME?</x:v>
      </x:c>
      <x:c r="BF7" s="2" t="str">
        <x:f t="shared" si="3"/>
        <x:v>Yes</x:v>
      </x:c>
      <x:c r="BG7" s="2" t="str">
        <x:f t="shared" si="4"/>
        <x:v>Yes</x:v>
      </x:c>
      <x:c r="BH7" s="24"/>
      <x:c r="BI7" s="24"/>
    </x:row>
    <x:row r="8">
      <x:c r="A8" s="2" t="s">
        <x:v>59</x:v>
      </x:c>
      <x:c r="B8" s="3">
        <x:v>19</x:v>
      </x:c>
      <x:c r="C8" s="2" t="s">
        <x:v>92</x:v>
      </x:c>
      <x:c r="D8" s="2" t="s">
        <x:v>93</x:v>
      </x:c>
      <x:c r="E8" s="2" t="s">
        <x:v>62</x:v>
      </x:c>
      <x:c r="F8" s="2" t="s">
        <x:v>63</x:v>
      </x:c>
      <x:c r="G8" s="3">
        <x:v>6</x:v>
      </x:c>
      <x:c r="H8" s="3">
        <x:v>0</x:v>
      </x:c>
      <x:c r="I8" s="3">
        <x:v>120</x:v>
      </x:c>
      <x:c r="J8" s="4">
        <x:v>9.3023255813953487E-2</x:v>
      </x:c>
      <x:c r="K8" s="3">
        <x:v>0</x:v>
      </x:c>
      <x:c r="L8" s="2" t="s">
        <x:v>94</x:v>
      </x:c>
      <x:c r="M8" s="3">
        <x:v>310</x:v>
      </x:c>
      <x:c r="N8" s="3">
        <x:v>21</x:v>
      </x:c>
      <x:c r="O8" s="5">
        <x:v>104.2202610219291</x:v>
      </x:c>
      <x:c r="P8" s="5">
        <x:v>25.584058096363069</x:v>
      </x:c>
      <x:c r="Q8" s="5"/>
      <x:c r="R8" s="5">
        <x:v>75.602841066310646</x:v>
      </x:c>
      <x:c r="S8" s="5">
        <x:f t="shared" si="0"/>
        <x:v>52.129706171271593</x:v>
      </x:c>
      <x:c r="T8" s="5">
        <x:f t="shared" si="1"/>
        <x:v>52.129706171271593</x:v>
      </x:c>
      <x:c r="U8" s="5" t="e">
        <x:f>T8/[1]Model_Parameters!$B$22</x:f>
        <x:v>#NAME?</x:v>
      </x:c>
      <x:c r="V8" s="5">
        <x:v>61.614352622378753</x:v>
      </x:c>
      <x:c r="W8" s="5">
        <x:v>61.614352622378753</x:v>
      </x:c>
      <x:c r="X8" s="5">
        <x:v>93.699307722777817</x:v>
      </x:c>
      <x:c r="Y8" s="3">
        <x:v>4</x:v>
      </x:c>
      <x:c r="Z8" s="3">
        <x:v>0</x:v>
      </x:c>
      <x:c r="AA8" s="3"/>
      <x:c r="AB8" s="2"/>
      <x:c r="AC8" s="3"/>
      <x:c r="AD8" s="3"/>
      <x:c r="AE8" s="2" t="s">
        <x:v>65</x:v>
      </x:c>
      <x:c r="AF8" s="3">
        <x:v>4</x:v>
      </x:c>
      <x:c r="AG8" s="3">
        <x:v>0</x:v>
      </x:c>
      <x:c r="AH8" s="2" t="s">
        <x:v>94</x:v>
      </x:c>
      <x:c r="AI8" s="3">
        <x:v>21</x:v>
      </x:c>
      <x:c r="AJ8" s="3">
        <x:v>0</x:v>
      </x:c>
      <x:c r="AK8" s="2" t="s">
        <x:v>66</x:v>
      </x:c>
      <x:c r="AL8" s="3">
        <x:v>0</x:v>
      </x:c>
      <x:c r="AM8" s="2" t="s">
        <x:v>95</x:v>
      </x:c>
      <x:c r="AN8" s="3">
        <x:v>25</x:v>
      </x:c>
      <x:c r="AO8" s="3">
        <x:v>56</x:v>
      </x:c>
      <x:c r="AP8" s="3">
        <x:v>56</x:v>
      </x:c>
      <x:c r="AQ8" s="5">
        <x:v>55.635102796601657</x:v>
      </x:c>
      <x:c r="AR8" s="5">
        <x:v>52.129706171271494</x:v>
      </x:c>
      <x:c r="AS8" s="5">
        <x:f t="shared" si="2"/>
        <x:v>99.999999999999815</x:v>
      </x:c>
      <x:c r="AT8" s="5">
        <x:v>59.609038710644633</x:v>
      </x:c>
      <x:c r="AU8" s="5">
        <x:v>61.614352622378753</x:v>
      </x:c>
      <x:c r="AV8" s="5">
        <x:v>75.602841066310646</x:v>
      </x:c>
      <x:c r="AW8" s="2" t="b">
        <x:v>0</x:v>
      </x:c>
      <x:c r="AX8" s="2"/>
      <x:c r="AY8" s="2" t="s">
        <x:v>68</x:v>
      </x:c>
      <x:c r="AZ8" s="6">
        <x:v>21</x:v>
      </x:c>
      <x:c r="BA8" s="6"/>
      <x:c r="BB8" s="7"/>
      <x:c r="BC8" s="7"/>
      <x:c r="BD8" s="8"/>
      <x:c r="BE8" s="2" t="e">
        <x:f>IF(AE8="Blocked","No",IF(AJ8&lt;=[1]Model_Parameters!$B$20,"Yes","No"))</x:f>
        <x:v>#NAME?</x:v>
      </x:c>
      <x:c r="BF8" s="2" t="str">
        <x:f t="shared" si="3"/>
        <x:v>Yes</x:v>
      </x:c>
      <x:c r="BG8" s="2" t="str">
        <x:f t="shared" si="4"/>
        <x:v>Yes</x:v>
      </x:c>
      <x:c r="BH8" s="24"/>
      <x:c r="BI8" s="24"/>
    </x:row>
    <x:row r="9">
      <x:c r="A9" s="2" t="s">
        <x:v>59</x:v>
      </x:c>
      <x:c r="B9" s="3">
        <x:v>20</x:v>
      </x:c>
      <x:c r="C9" s="2" t="s">
        <x:v>96</x:v>
      </x:c>
      <x:c r="D9" s="2" t="s">
        <x:v>97</x:v>
      </x:c>
      <x:c r="E9" s="2" t="s">
        <x:v>62</x:v>
      </x:c>
      <x:c r="F9" s="2" t="s">
        <x:v>63</x:v>
      </x:c>
      <x:c r="G9" s="3">
        <x:v>7</x:v>
      </x:c>
      <x:c r="H9" s="3">
        <x:v>0</x:v>
      </x:c>
      <x:c r="I9" s="3">
        <x:v>120</x:v>
      </x:c>
      <x:c r="J9" s="4">
        <x:v>9.3023255813953487E-2</x:v>
      </x:c>
      <x:c r="K9" s="3">
        <x:v>0</x:v>
      </x:c>
      <x:c r="L9" s="2" t="s">
        <x:v>98</x:v>
      </x:c>
      <x:c r="M9" s="3">
        <x:v>314</x:v>
      </x:c>
      <x:c r="N9" s="3">
        <x:v>21</x:v>
      </x:c>
      <x:c r="O9" s="5">
        <x:v>64.141340257418591</x:v>
      </x:c>
      <x:c r="P9" s="5">
        <x:v>35.563998571184783</x:v>
      </x:c>
      <x:c r="Q9" s="5"/>
      <x:c r="R9" s="5">
        <x:v>78.05777354574397</x:v>
      </x:c>
      <x:c r="S9" s="5">
        <x:f t="shared" si="0"/>
        <x:v>27.256076794653801</x:v>
      </x:c>
      <x:c r="T9" s="5">
        <x:f t="shared" si="1"/>
        <x:v>27.256076794653801</x:v>
      </x:c>
      <x:c r="U9" s="5" t="e">
        <x:f>T9/[1]Model_Parameters!$B$22</x:f>
        <x:v>#NAME?</x:v>
      </x:c>
      <x:c r="V9" s="5">
        <x:v>347.58153649037399</x:v>
      </x:c>
      <x:c r="W9" s="5">
        <x:v>347.58153649037399</x:v>
      </x:c>
      <x:c r="X9" s="5">
        <x:v>91.417766402954484</x:v>
      </x:c>
      <x:c r="Y9" s="3">
        <x:v>5</x:v>
      </x:c>
      <x:c r="Z9" s="3">
        <x:v>0</x:v>
      </x:c>
      <x:c r="AA9" s="3"/>
      <x:c r="AB9" s="2"/>
      <x:c r="AC9" s="3"/>
      <x:c r="AD9" s="3"/>
      <x:c r="AE9" s="2" t="s">
        <x:v>65</x:v>
      </x:c>
      <x:c r="AF9" s="3">
        <x:v>5</x:v>
      </x:c>
      <x:c r="AG9" s="3">
        <x:v>0</x:v>
      </x:c>
      <x:c r="AH9" s="2" t="s">
        <x:v>98</x:v>
      </x:c>
      <x:c r="AI9" s="3">
        <x:v>21</x:v>
      </x:c>
      <x:c r="AJ9" s="3">
        <x:v>0</x:v>
      </x:c>
      <x:c r="AK9" s="2" t="s">
        <x:v>66</x:v>
      </x:c>
      <x:c r="AL9" s="3">
        <x:v>0</x:v>
      </x:c>
      <x:c r="AM9" s="2" t="s">
        <x:v>99</x:v>
      </x:c>
      <x:c r="AN9" s="3">
        <x:v>22</x:v>
      </x:c>
      <x:c r="AO9" s="3">
        <x:v>6</x:v>
      </x:c>
      <x:c r="AP9" s="3">
        <x:v>6</x:v>
      </x:c>
      <x:c r="AQ9" s="5">
        <x:v>29.81485751305004</x:v>
      </x:c>
      <x:c r="AR9" s="5">
        <x:v>27.256076794653811</x:v>
      </x:c>
      <x:c r="AS9" s="5">
        <x:f t="shared" si="2"/>
        <x:v>100.00000000000004</x:v>
      </x:c>
      <x:c r="AT9" s="5">
        <x:v>298.14857513050038</x:v>
      </x:c>
      <x:c r="AU9" s="5">
        <x:v>347.58153649037399</x:v>
      </x:c>
      <x:c r="AV9" s="5">
        <x:v>78.05777354574397</x:v>
      </x:c>
      <x:c r="AW9" s="2" t="b">
        <x:v>0</x:v>
      </x:c>
      <x:c r="AX9" s="2"/>
      <x:c r="AY9" s="2" t="s">
        <x:v>68</x:v>
      </x:c>
      <x:c r="AZ9" s="6">
        <x:v>21</x:v>
      </x:c>
      <x:c r="BA9" s="6"/>
      <x:c r="BB9" s="7"/>
      <x:c r="BC9" s="7"/>
      <x:c r="BD9" s="8"/>
      <x:c r="BE9" s="2" t="e">
        <x:f>IF(AE9="Blocked","No",IF(AJ9&lt;=[1]Model_Parameters!$B$20,"Yes","No"))</x:f>
        <x:v>#NAME?</x:v>
      </x:c>
      <x:c r="BF9" s="2" t="str">
        <x:f t="shared" si="3"/>
        <x:v>Yes</x:v>
      </x:c>
      <x:c r="BG9" s="2" t="str">
        <x:f t="shared" si="4"/>
        <x:v>Yes</x:v>
      </x:c>
      <x:c r="BH9" s="24"/>
      <x:c r="BI9" s="24"/>
    </x:row>
    <x:row r="10">
      <x:c r="A10" s="2" t="s">
        <x:v>59</x:v>
      </x:c>
      <x:c r="B10" s="3">
        <x:v>22</x:v>
      </x:c>
      <x:c r="C10" s="2" t="s">
        <x:v>100</x:v>
      </x:c>
      <x:c r="D10" s="2" t="s">
        <x:v>101</x:v>
      </x:c>
      <x:c r="E10" s="2" t="s">
        <x:v>62</x:v>
      </x:c>
      <x:c r="F10" s="2" t="s">
        <x:v>63</x:v>
      </x:c>
      <x:c r="G10" s="3">
        <x:v>8</x:v>
      </x:c>
      <x:c r="H10" s="3">
        <x:v>0</x:v>
      </x:c>
      <x:c r="I10" s="3">
        <x:v>120</x:v>
      </x:c>
      <x:c r="J10" s="4">
        <x:v>9.3023255813953487E-2</x:v>
      </x:c>
      <x:c r="K10" s="3">
        <x:v>0</x:v>
      </x:c>
      <x:c r="L10" s="2" t="s">
        <x:v>102</x:v>
      </x:c>
      <x:c r="M10" s="3">
        <x:v>318</x:v>
      </x:c>
      <x:c r="N10" s="3">
        <x:v>22</x:v>
      </x:c>
      <x:c r="O10" s="5">
        <x:v>75.909086484638621</x:v>
      </x:c>
      <x:c r="P10" s="5">
        <x:v>41.54146607683338</x:v>
      </x:c>
      <x:c r="Q10" s="5"/>
      <x:c r="R10" s="5">
        <x:v>84.47977857080464</x:v>
      </x:c>
      <x:c r="S10" s="5">
        <x:f t="shared" si="0"/>
        <x:v>32.594080766093036</x:v>
      </x:c>
      <x:c r="T10" s="5">
        <x:f t="shared" si="1"/>
        <x:v>32.594080766093036</x:v>
      </x:c>
      <x:c r="U10" s="5" t="e">
        <x:f>T10/[1]Model_Parameters!$B$22</x:f>
        <x:v>#NAME?</x:v>
      </x:c>
      <x:c r="V10" s="5">
        <x:v>119.3386655534681</x:v>
      </x:c>
      <x:c r="W10" s="5">
        <x:v>119.3386655534681</x:v>
      </x:c>
      <x:c r="X10" s="5">
        <x:v>94.459604760331601</x:v>
      </x:c>
      <x:c r="Y10" s="3">
        <x:v>6</x:v>
      </x:c>
      <x:c r="Z10" s="3">
        <x:v>0</x:v>
      </x:c>
      <x:c r="AA10" s="3"/>
      <x:c r="AB10" s="2"/>
      <x:c r="AC10" s="3"/>
      <x:c r="AD10" s="3"/>
      <x:c r="AE10" s="2" t="s">
        <x:v>65</x:v>
      </x:c>
      <x:c r="AF10" s="3">
        <x:v>7</x:v>
      </x:c>
      <x:c r="AG10" s="3">
        <x:v>0</x:v>
      </x:c>
      <x:c r="AH10" s="2" t="s">
        <x:v>102</x:v>
      </x:c>
      <x:c r="AI10" s="3">
        <x:v>22</x:v>
      </x:c>
      <x:c r="AJ10" s="3">
        <x:v>0</x:v>
      </x:c>
      <x:c r="AK10" s="2" t="s">
        <x:v>66</x:v>
      </x:c>
      <x:c r="AL10" s="3">
        <x:v>0</x:v>
      </x:c>
      <x:c r="AM10" s="2" t="s">
        <x:v>103</x:v>
      </x:c>
      <x:c r="AN10" s="3">
        <x:v>23</x:v>
      </x:c>
      <x:c r="AO10" s="3">
        <x:v>21</x:v>
      </x:c>
      <x:c r="AP10" s="3">
        <x:v>21</x:v>
      </x:c>
      <x:c r="AQ10" s="5">
        <x:v>34.505840722912843</x:v>
      </x:c>
      <x:c r="AR10" s="5">
        <x:v>32.594080766093008</x:v>
      </x:c>
      <x:c r="AS10" s="5">
        <x:f t="shared" si="2"/>
        <x:v>99.999999999999915</x:v>
      </x:c>
      <x:c r="AT10" s="5">
        <x:v>98.588116351179565</x:v>
      </x:c>
      <x:c r="AU10" s="5">
        <x:v>119.3386655534681</x:v>
      </x:c>
      <x:c r="AV10" s="5">
        <x:v>84.47977857080464</x:v>
      </x:c>
      <x:c r="AW10" s="2" t="b">
        <x:v>0</x:v>
      </x:c>
      <x:c r="AX10" s="2"/>
      <x:c r="AY10" s="2" t="s">
        <x:v>68</x:v>
      </x:c>
      <x:c r="AZ10" s="6">
        <x:v>22</x:v>
      </x:c>
      <x:c r="BA10" s="6"/>
      <x:c r="BB10" s="7"/>
      <x:c r="BC10" s="7"/>
      <x:c r="BD10" s="8"/>
      <x:c r="BE10" s="2" t="e">
        <x:f>IF(AE10="Blocked","No",IF(AJ10&lt;=[1]Model_Parameters!$B$20,"Yes","No"))</x:f>
        <x:v>#NAME?</x:v>
      </x:c>
      <x:c r="BF10" s="2" t="str">
        <x:f t="shared" si="3"/>
        <x:v>Yes</x:v>
      </x:c>
      <x:c r="BG10" s="2" t="str">
        <x:f t="shared" si="4"/>
        <x:v>Yes</x:v>
      </x:c>
      <x:c r="BH10" s="24"/>
      <x:c r="BI10" s="24"/>
    </x:row>
    <x:row r="11">
      <x:c r="A11" s="2" t="s">
        <x:v>59</x:v>
      </x:c>
      <x:c r="B11" s="3">
        <x:v>23</x:v>
      </x:c>
      <x:c r="C11" s="2" t="s">
        <x:v>104</x:v>
      </x:c>
      <x:c r="D11" s="2" t="s">
        <x:v>105</x:v>
      </x:c>
      <x:c r="E11" s="2" t="s">
        <x:v>62</x:v>
      </x:c>
      <x:c r="F11" s="2" t="s">
        <x:v>63</x:v>
      </x:c>
      <x:c r="G11" s="3">
        <x:v>9</x:v>
      </x:c>
      <x:c r="H11" s="3">
        <x:v>0</x:v>
      </x:c>
      <x:c r="I11" s="3">
        <x:v>120</x:v>
      </x:c>
      <x:c r="J11" s="4">
        <x:v>9.3023255813953487E-2</x:v>
      </x:c>
      <x:c r="K11" s="3">
        <x:v>0</x:v>
      </x:c>
      <x:c r="L11" s="2" t="s">
        <x:v>99</x:v>
      </x:c>
      <x:c r="M11" s="3">
        <x:v>320</x:v>
      </x:c>
      <x:c r="N11" s="3">
        <x:v>22</x:v>
      </x:c>
      <x:c r="O11" s="5">
        <x:v>108.1754399503312</x:v>
      </x:c>
      <x:c r="P11" s="5">
        <x:v>65.251627575082992</x:v>
      </x:c>
      <x:c r="Q11" s="5"/>
      <x:c r="R11" s="5">
        <x:v>70.804473343990509</x:v>
      </x:c>
      <x:c r="S11" s="5">
        <x:f t="shared" si="0"/>
        <x:v>6.0068153402790578</x:v>
      </x:c>
      <x:c r="T11" s="5">
        <x:f t="shared" si="1"/>
        <x:v>6.0068153402790578</x:v>
      </x:c>
      <x:c r="U11" s="5" t="e">
        <x:f>T11/[1]Model_Parameters!$B$22</x:f>
        <x:v>#NAME?</x:v>
      </x:c>
      <x:c r="V11" s="5">
        <x:v>199.4895508273658</x:v>
      </x:c>
      <x:c r="W11" s="5">
        <x:v>199.4895508273658</x:v>
      </x:c>
      <x:c r="X11" s="5">
        <x:v>90.11627900862041</x:v>
      </x:c>
      <x:c r="Y11" s="3">
        <x:v>5</x:v>
      </x:c>
      <x:c r="Z11" s="3">
        <x:v>0</x:v>
      </x:c>
      <x:c r="AA11" s="3"/>
      <x:c r="AB11" s="2"/>
      <x:c r="AC11" s="3"/>
      <x:c r="AD11" s="3"/>
      <x:c r="AE11" s="2" t="s">
        <x:v>65</x:v>
      </x:c>
      <x:c r="AF11" s="3">
        <x:v>8</x:v>
      </x:c>
      <x:c r="AG11" s="3">
        <x:v>0</x:v>
      </x:c>
      <x:c r="AH11" s="2" t="s">
        <x:v>99</x:v>
      </x:c>
      <x:c r="AI11" s="3">
        <x:v>22</x:v>
      </x:c>
      <x:c r="AJ11" s="3">
        <x:v>0</x:v>
      </x:c>
      <x:c r="AK11" s="2" t="s">
        <x:v>66</x:v>
      </x:c>
      <x:c r="AL11" s="3">
        <x:v>0</x:v>
      </x:c>
      <x:c r="AM11" s="2" t="s">
        <x:v>106</x:v>
      </x:c>
      <x:c r="AN11" s="3">
        <x:v>22</x:v>
      </x:c>
      <x:c r="AO11" s="3">
        <x:v>3</x:v>
      </x:c>
      <x:c r="AP11" s="3">
        <x:v>3</x:v>
      </x:c>
      <x:c r="AQ11" s="5">
        <x:v>6.6656273498647671</x:v>
      </x:c>
      <x:c r="AR11" s="5">
        <x:v>6.0068153402790454</x:v>
      </x:c>
      <x:c r="AS11" s="5">
        <x:f t="shared" si="2"/>
        <x:v>99.999999999999787</x:v>
      </x:c>
      <x:c r="AT11" s="5">
        <x:v>133.3125469972953</x:v>
      </x:c>
      <x:c r="AU11" s="5">
        <x:v>199.4895508273658</x:v>
      </x:c>
      <x:c r="AV11" s="5">
        <x:v>70.804473343990509</x:v>
      </x:c>
      <x:c r="AW11" s="2" t="b">
        <x:v>0</x:v>
      </x:c>
      <x:c r="AX11" s="2"/>
      <x:c r="AY11" s="2" t="s">
        <x:v>68</x:v>
      </x:c>
      <x:c r="AZ11" s="6">
        <x:v>22</x:v>
      </x:c>
      <x:c r="BA11" s="6"/>
      <x:c r="BB11" s="7"/>
      <x:c r="BC11" s="7"/>
      <x:c r="BD11" s="8"/>
      <x:c r="BE11" s="2" t="e">
        <x:f>IF(AE11="Blocked","No",IF(AJ11&lt;=[1]Model_Parameters!$B$20,"Yes","No"))</x:f>
        <x:v>#NAME?</x:v>
      </x:c>
      <x:c r="BF11" s="2" t="str">
        <x:f t="shared" si="3"/>
        <x:v>Yes</x:v>
      </x:c>
      <x:c r="BG11" s="2" t="str">
        <x:f t="shared" si="4"/>
        <x:v>Yes</x:v>
      </x:c>
      <x:c r="BH11" s="24"/>
      <x:c r="BI11" s="24"/>
    </x:row>
    <x:row r="12">
      <x:c r="A12" s="2" t="s">
        <x:v>59</x:v>
      </x:c>
      <x:c r="B12" s="3">
        <x:v>24</x:v>
      </x:c>
      <x:c r="C12" s="2" t="s">
        <x:v>107</x:v>
      </x:c>
      <x:c r="D12" s="2" t="s">
        <x:v>108</x:v>
      </x:c>
      <x:c r="E12" s="2" t="s">
        <x:v>62</x:v>
      </x:c>
      <x:c r="F12" s="2" t="s">
        <x:v>63</x:v>
      </x:c>
      <x:c r="G12" s="3">
        <x:v>10</x:v>
      </x:c>
      <x:c r="H12" s="3">
        <x:v>0</x:v>
      </x:c>
      <x:c r="I12" s="3">
        <x:v>120</x:v>
      </x:c>
      <x:c r="J12" s="4">
        <x:v>9.3023255813953487E-2</x:v>
      </x:c>
      <x:c r="K12" s="3">
        <x:v>0</x:v>
      </x:c>
      <x:c r="L12" s="2" t="s">
        <x:v>99</x:v>
      </x:c>
      <x:c r="M12" s="3">
        <x:v>320</x:v>
      </x:c>
      <x:c r="N12" s="3">
        <x:v>22</x:v>
      </x:c>
      <x:c r="O12" s="5">
        <x:v>71.431024926478941</x:v>
      </x:c>
      <x:c r="P12" s="5">
        <x:v>15.4795050566097</x:v>
      </x:c>
      <x:c r="Q12" s="5"/>
      <x:c r="R12" s="5">
        <x:v>92.947956620742872</x:v>
      </x:c>
      <x:c r="S12" s="5">
        <x:f t="shared" si="0"/>
        <x:v>55.336508946933236</x:v>
      </x:c>
      <x:c r="T12" s="5">
        <x:f t="shared" si="1"/>
        <x:v>55.336508946933236</x:v>
      </x:c>
      <x:c r="U12" s="5" t="e">
        <x:f>T12/[1]Model_Parameters!$B$22</x:f>
        <x:v>#NAME?</x:v>
      </x:c>
      <x:c r="V12" s="5">
        <x:v>155.44022314984591</x:v>
      </x:c>
      <x:c r="W12" s="5">
        <x:v>155.44022314984591</x:v>
      </x:c>
      <x:c r="X12" s="5">
        <x:v>94.453143232296455</x:v>
      </x:c>
      <x:c r="Y12" s="3">
        <x:v>6</x:v>
      </x:c>
      <x:c r="Z12" s="3">
        <x:v>0</x:v>
      </x:c>
      <x:c r="AA12" s="3"/>
      <x:c r="AB12" s="2"/>
      <x:c r="AC12" s="3"/>
      <x:c r="AD12" s="3"/>
      <x:c r="AE12" s="2" t="s">
        <x:v>65</x:v>
      </x:c>
      <x:c r="AF12" s="3">
        <x:v>9</x:v>
      </x:c>
      <x:c r="AG12" s="3">
        <x:v>0</x:v>
      </x:c>
      <x:c r="AH12" s="2" t="s">
        <x:v>99</x:v>
      </x:c>
      <x:c r="AI12" s="3">
        <x:v>22</x:v>
      </x:c>
      <x:c r="AJ12" s="3">
        <x:v>0</x:v>
      </x:c>
      <x:c r="AK12" s="2" t="s">
        <x:v>66</x:v>
      </x:c>
      <x:c r="AL12" s="3">
        <x:v>0</x:v>
      </x:c>
      <x:c r="AM12" s="2" t="s">
        <x:v>109</x:v>
      </x:c>
      <x:c r="AN12" s="3">
        <x:v>24</x:v>
      </x:c>
      <x:c r="AO12" s="3">
        <x:v>30</x:v>
      </x:c>
      <x:c r="AP12" s="3">
        <x:v>30</x:v>
      </x:c>
      <x:c r="AQ12" s="5">
        <x:v>58.586201637397657</x:v>
      </x:c>
      <x:c r="AR12" s="5">
        <x:v>55.336508946933208</x:v>
      </x:c>
      <x:c r="AS12" s="5">
        <x:f t="shared" si="2"/>
        <x:v>99.999999999999943</x:v>
      </x:c>
      <x:c r="AT12" s="5">
        <x:v>117.1724032747953</x:v>
      </x:c>
      <x:c r="AU12" s="5">
        <x:v>155.44022314984591</x:v>
      </x:c>
      <x:c r="AV12" s="5">
        <x:v>92.947956620742872</x:v>
      </x:c>
      <x:c r="AW12" s="2" t="b">
        <x:v>0</x:v>
      </x:c>
      <x:c r="AX12" s="2"/>
      <x:c r="AY12" s="2" t="s">
        <x:v>68</x:v>
      </x:c>
      <x:c r="AZ12" s="6">
        <x:v>22</x:v>
      </x:c>
      <x:c r="BA12" s="6"/>
      <x:c r="BB12" s="7"/>
      <x:c r="BC12" s="7"/>
      <x:c r="BD12" s="8"/>
      <x:c r="BE12" s="2" t="e">
        <x:f>IF(AE12="Blocked","No",IF(AJ12&lt;=[1]Model_Parameters!$B$20,"Yes","No"))</x:f>
        <x:v>#NAME?</x:v>
      </x:c>
      <x:c r="BF12" s="2" t="str">
        <x:f t="shared" si="3"/>
        <x:v>Yes</x:v>
      </x:c>
      <x:c r="BG12" s="2" t="str">
        <x:f t="shared" si="4"/>
        <x:v>Yes</x:v>
      </x:c>
      <x:c r="BH12" s="24"/>
      <x:c r="BI12" s="24"/>
    </x:row>
    <x:row r="13">
      <x:c r="A13" s="2" t="s">
        <x:v>59</x:v>
      </x:c>
      <x:c r="B13" s="3">
        <x:v>27</x:v>
      </x:c>
      <x:c r="C13" s="2" t="s">
        <x:v>110</x:v>
      </x:c>
      <x:c r="D13" s="2" t="s">
        <x:v>111</x:v>
      </x:c>
      <x:c r="E13" s="2" t="s">
        <x:v>62</x:v>
      </x:c>
      <x:c r="F13" s="2" t="s">
        <x:v>63</x:v>
      </x:c>
      <x:c r="G13" s="3">
        <x:v>11</x:v>
      </x:c>
      <x:c r="H13" s="3">
        <x:v>0</x:v>
      </x:c>
      <x:c r="I13" s="3">
        <x:v>120</x:v>
      </x:c>
      <x:c r="J13" s="4">
        <x:v>9.3023255813953487E-2</x:v>
      </x:c>
      <x:c r="K13" s="3">
        <x:v>0</x:v>
      </x:c>
      <x:c r="L13" s="9" t="s">
        <x:v>106</x:v>
      </x:c>
      <x:c r="M13" s="3">
        <x:v>323</x:v>
      </x:c>
      <x:c r="N13" s="3">
        <x:v>22</x:v>
      </x:c>
      <x:c r="O13" s="5">
        <x:v>98.712907076064639</x:v>
      </x:c>
      <x:c r="P13" s="5">
        <x:v>29.503868576850628</x:v>
      </x:c>
      <x:c r="Q13" s="5"/>
      <x:c r="R13" s="5">
        <x:v>87.848317367000178</x:v>
      </x:c>
      <x:c r="S13" s="5">
        <x:f t="shared" si="0"/>
        <x:v>57.59350151826245</x:v>
      </x:c>
      <x:c r="T13" s="5">
        <x:f t="shared" si="1"/>
        <x:v>57.59350151826245</x:v>
      </x:c>
      <x:c r="U13" s="5" t="e">
        <x:f>T13/[1]Model_Parameters!$B$22</x:f>
        <x:v>#NAME?</x:v>
      </x:c>
      <x:c r="V13" s="5">
        <x:v>255.27212632986561</x:v>
      </x:c>
      <x:c r="W13" s="5">
        <x:v>255.27212632986561</x:v>
      </x:c>
      <x:c r="X13" s="5">
        <x:v>90.728756296842732</x:v>
      </x:c>
      <x:c r="Y13" s="3">
        <x:v>7</x:v>
      </x:c>
      <x:c r="Z13" s="3">
        <x:v>0</x:v>
      </x:c>
      <x:c r="AA13" s="3"/>
      <x:c r="AB13" s="2"/>
      <x:c r="AC13" s="3"/>
      <x:c r="AD13" s="3"/>
      <x:c r="AE13" s="2" t="s">
        <x:v>65</x:v>
      </x:c>
      <x:c r="AF13" s="3">
        <x:v>3</x:v>
      </x:c>
      <x:c r="AG13" s="3">
        <x:v>0</x:v>
      </x:c>
      <x:c r="AH13" s="2" t="s">
        <x:v>106</x:v>
      </x:c>
      <x:c r="AI13" s="3">
        <x:v>22</x:v>
      </x:c>
      <x:c r="AJ13" s="3">
        <x:v>0</x:v>
      </x:c>
      <x:c r="AK13" s="2" t="s">
        <x:v>66</x:v>
      </x:c>
      <x:c r="AL13" s="3">
        <x:v>0</x:v>
      </x:c>
      <x:c r="AM13" s="2" t="s">
        <x:v>112</x:v>
      </x:c>
      <x:c r="AN13" s="3">
        <x:v>23</x:v>
      </x:c>
      <x:c r="AO13" s="3">
        <x:v>19</x:v>
      </x:c>
      <x:c r="AP13" s="3">
        <x:v>19</x:v>
      </x:c>
      <x:c r="AQ13" s="5">
        <x:v>63.478773289727812</x:v>
      </x:c>
      <x:c r="AR13" s="5">
        <x:v>57.59350151826245</x:v>
      </x:c>
      <x:c r="AS13" s="5">
        <x:f t="shared" si="2"/>
        <x:v>100</x:v>
      </x:c>
      <x:c r="AT13" s="5">
        <x:v>200.45928407282469</x:v>
      </x:c>
      <x:c r="AU13" s="5">
        <x:v>255.27212632986561</x:v>
      </x:c>
      <x:c r="AV13" s="5">
        <x:v>87.848317367000178</x:v>
      </x:c>
      <x:c r="AW13" s="2" t="b">
        <x:v>0</x:v>
      </x:c>
      <x:c r="AX13" s="2"/>
      <x:c r="AY13" s="2" t="s">
        <x:v>68</x:v>
      </x:c>
      <x:c r="AZ13" s="6">
        <x:v>22</x:v>
      </x:c>
      <x:c r="BA13" s="6"/>
      <x:c r="BB13" s="7"/>
      <x:c r="BC13" s="7"/>
      <x:c r="BD13" s="8"/>
      <x:c r="BE13" s="2" t="e">
        <x:f>IF(AE13="Blocked","No",IF(AJ13&lt;=[1]Model_Parameters!$B$20,"Yes","No"))</x:f>
        <x:v>#NAME?</x:v>
      </x:c>
      <x:c r="BF13" s="2" t="str">
        <x:f t="shared" si="3"/>
        <x:v>Yes</x:v>
      </x:c>
      <x:c r="BG13" s="2" t="str">
        <x:f t="shared" si="4"/>
        <x:v>Yes</x:v>
      </x:c>
      <x:c r="BH13" s="24"/>
      <x:c r="BI13" s="24"/>
    </x:row>
    <x:row r="14">
      <x:c r="A14" s="2" t="s">
        <x:v>59</x:v>
      </x:c>
      <x:c r="B14" s="3">
        <x:v>30</x:v>
      </x:c>
      <x:c r="C14" s="2" t="s">
        <x:v>113</x:v>
      </x:c>
      <x:c r="D14" s="2" t="s">
        <x:v>114</x:v>
      </x:c>
      <x:c r="E14" s="2" t="s">
        <x:v>62</x:v>
      </x:c>
      <x:c r="F14" s="2" t="s">
        <x:v>63</x:v>
      </x:c>
      <x:c r="G14" s="3">
        <x:v>12</x:v>
      </x:c>
      <x:c r="H14" s="3">
        <x:v>0</x:v>
      </x:c>
      <x:c r="I14" s="3">
        <x:v>120</x:v>
      </x:c>
      <x:c r="J14" s="4">
        <x:v>9.3023255813953487E-2</x:v>
      </x:c>
      <x:c r="K14" s="3">
        <x:v>0</x:v>
      </x:c>
      <x:c r="L14" s="2" t="s">
        <x:v>115</x:v>
      </x:c>
      <x:c r="M14" s="3">
        <x:v>331</x:v>
      </x:c>
      <x:c r="N14" s="3">
        <x:v>23</x:v>
      </x:c>
      <x:c r="O14" s="5">
        <x:v>174.6866515817255</x:v>
      </x:c>
      <x:c r="P14" s="5">
        <x:v>7.4250964954114966</x:v>
      </x:c>
      <x:c r="Q14" s="5"/>
      <x:c r="R14" s="5">
        <x:v>76.669400188761244</x:v>
      </x:c>
      <x:c r="S14" s="5">
        <x:f t="shared" si="0"/>
        <x:v>120.96055553299377</x:v>
      </x:c>
      <x:c r="T14" s="5">
        <x:f t="shared" si="1"/>
        <x:v>120.96055553299377</x:v>
      </x:c>
      <x:c r="U14" s="5" t="e">
        <x:f>T14/[1]Model_Parameters!$B$22</x:f>
        <x:v>#NAME?</x:v>
      </x:c>
      <x:c r="V14" s="5">
        <x:v>330.06411324174951</x:v>
      </x:c>
      <x:c r="W14" s="5">
        <x:v>330.06411324174951</x:v>
      </x:c>
      <x:c r="X14" s="5">
        <x:v>94.637328041980112</x:v>
      </x:c>
      <x:c r="Y14" s="3">
        <x:v>9</x:v>
      </x:c>
      <x:c r="Z14" s="3">
        <x:v>0</x:v>
      </x:c>
      <x:c r="AA14" s="3"/>
      <x:c r="AB14" s="2"/>
      <x:c r="AC14" s="3"/>
      <x:c r="AD14" s="3"/>
      <x:c r="AE14" s="2" t="s">
        <x:v>65</x:v>
      </x:c>
      <x:c r="AF14" s="3">
        <x:v>10</x:v>
      </x:c>
      <x:c r="AG14" s="3">
        <x:v>0</x:v>
      </x:c>
      <x:c r="AH14" s="2" t="s">
        <x:v>115</x:v>
      </x:c>
      <x:c r="AI14" s="3">
        <x:v>23</x:v>
      </x:c>
      <x:c r="AJ14" s="3">
        <x:v>0</x:v>
      </x:c>
      <x:c r="AK14" s="2" t="s">
        <x:v>66</x:v>
      </x:c>
      <x:c r="AL14" s="3">
        <x:v>0</x:v>
      </x:c>
      <x:c r="AM14" s="2" t="s">
        <x:v>116</x:v>
      </x:c>
      <x:c r="AN14" s="3">
        <x:v>24</x:v>
      </x:c>
      <x:c r="AO14" s="3">
        <x:v>24</x:v>
      </x:c>
      <x:c r="AP14" s="3">
        <x:v>24</x:v>
      </x:c>
      <x:c r="AQ14" s="5">
        <x:v>127.81484646242021</x:v>
      </x:c>
      <x:c r="AR14" s="5">
        <x:v>120.96055553299369</x:v>
      </x:c>
      <x:c r="AS14" s="5">
        <x:f t="shared" si="2"/>
        <x:v>99.999999999999943</x:v>
      </x:c>
      <x:c r="AT14" s="5">
        <x:v>319.53711615605062</x:v>
      </x:c>
      <x:c r="AU14" s="5">
        <x:v>330.06411324174951</x:v>
      </x:c>
      <x:c r="AV14" s="5">
        <x:v>76.669400188761244</x:v>
      </x:c>
      <x:c r="AW14" s="2" t="b">
        <x:v>0</x:v>
      </x:c>
      <x:c r="AX14" s="2"/>
      <x:c r="AY14" s="2" t="s">
        <x:v>68</x:v>
      </x:c>
      <x:c r="AZ14" s="6">
        <x:v>23</x:v>
      </x:c>
      <x:c r="BA14" s="6"/>
      <x:c r="BB14" s="7"/>
      <x:c r="BC14" s="7"/>
      <x:c r="BD14" s="8"/>
      <x:c r="BE14" s="2" t="e">
        <x:f>IF(AE14="Blocked","No",IF(AJ14&lt;=[1]Model_Parameters!$B$20,"Yes","No"))</x:f>
        <x:v>#NAME?</x:v>
      </x:c>
      <x:c r="BF14" s="2" t="str">
        <x:f t="shared" si="3"/>
        <x:v>Yes</x:v>
      </x:c>
      <x:c r="BG14" s="2" t="str">
        <x:f t="shared" si="4"/>
        <x:v>Yes</x:v>
      </x:c>
      <x:c r="BH14" s="24"/>
      <x:c r="BI14" s="24"/>
    </x:row>
    <x:row r="15">
      <x:c r="A15" s="2" t="s">
        <x:v>59</x:v>
      </x:c>
      <x:c r="B15" s="3">
        <x:v>32</x:v>
      </x:c>
      <x:c r="C15" s="2" t="s">
        <x:v>117</x:v>
      </x:c>
      <x:c r="D15" s="2" t="s">
        <x:v>118</x:v>
      </x:c>
      <x:c r="E15" s="2" t="s">
        <x:v>62</x:v>
      </x:c>
      <x:c r="F15" s="2" t="s">
        <x:v>63</x:v>
      </x:c>
      <x:c r="G15" s="3">
        <x:v>13</x:v>
      </x:c>
      <x:c r="H15" s="3">
        <x:v>0</x:v>
      </x:c>
      <x:c r="I15" s="3">
        <x:v>120</x:v>
      </x:c>
      <x:c r="J15" s="4">
        <x:v>9.3023255813953487E-2</x:v>
      </x:c>
      <x:c r="K15" s="3">
        <x:v>0</x:v>
      </x:c>
      <x:c r="L15" s="2" t="s">
        <x:v>119</x:v>
      </x:c>
      <x:c r="M15" s="3">
        <x:v>332</x:v>
      </x:c>
      <x:c r="N15" s="3">
        <x:v>23</x:v>
      </x:c>
      <x:c r="O15" s="5">
        <x:v>76.918585954082033</x:v>
      </x:c>
      <x:c r="P15" s="5">
        <x:v>52.335972262249918</x:v>
      </x:c>
      <x:c r="Q15" s="5"/>
      <x:c r="R15" s="5">
        <x:v>90.775993295272741</x:v>
      </x:c>
      <x:c r="S15" s="5">
        <x:f t="shared" si="0"/>
        <x:v>29.567520619052871</x:v>
      </x:c>
      <x:c r="T15" s="5">
        <x:f t="shared" si="1"/>
        <x:v>29.567520619052871</x:v>
      </x:c>
      <x:c r="U15" s="5" t="e">
        <x:f>T15/[1]Model_Parameters!$B$22</x:f>
        <x:v>#NAME?</x:v>
      </x:c>
      <x:c r="V15" s="5">
        <x:v>266.1518431001648</x:v>
      </x:c>
      <x:c r="W15" s="5">
        <x:v>266.1518431001648</x:v>
      </x:c>
      <x:c r="X15" s="5">
        <x:v>93.997942547556988</x:v>
      </x:c>
      <x:c r="Y15" s="3">
        <x:v>10</x:v>
      </x:c>
      <x:c r="Z15" s="3">
        <x:v>1</x:v>
      </x:c>
      <x:c r="AA15" s="3">
        <x:v>1</x:v>
      </x:c>
      <x:c r="AB15" s="2"/>
      <x:c r="AC15" s="3"/>
      <x:c r="AD15" s="3"/>
      <x:c r="AE15" s="2" t="s">
        <x:v>120</x:v>
      </x:c>
      <x:c r="AF15" s="3">
        <x:v>5</x:v>
      </x:c>
      <x:c r="AG15" s="3">
        <x:v>0</x:v>
      </x:c>
      <x:c r="AH15" s="2" t="s">
        <x:v>121</x:v>
      </x:c>
      <x:c r="AI15" s="3">
        <x:v>23</x:v>
      </x:c>
      <x:c r="AJ15" s="3">
        <x:v>1</x:v>
      </x:c>
      <x:c r="AK15" s="2" t="s">
        <x:v>66</x:v>
      </x:c>
      <x:c r="AL15" s="3">
        <x:v>0</x:v>
      </x:c>
      <x:c r="AM15" s="2" t="s">
        <x:v>122</x:v>
      </x:c>
      <x:c r="AN15" s="3">
        <x:v>23</x:v>
      </x:c>
      <x:c r="AO15" s="3">
        <x:v>11</x:v>
      </x:c>
      <x:c r="AP15" s="3">
        <x:v>12</x:v>
      </x:c>
      <x:c r="AQ15" s="5">
        <x:v>31.455497660593561</x:v>
      </x:c>
      <x:c r="AR15" s="5">
        <x:v>29.567520619052871</x:v>
      </x:c>
      <x:c r="AS15" s="5">
        <x:f t="shared" si="2"/>
        <x:v>100</x:v>
      </x:c>
      <x:c r="AT15" s="5">
        <x:v>171.5754417850558</x:v>
      </x:c>
      <x:c r="AU15" s="5">
        <x:v>266.1518431001648</x:v>
      </x:c>
      <x:c r="AV15" s="5">
        <x:v>90.775993295272741</x:v>
      </x:c>
      <x:c r="AW15" s="2" t="b">
        <x:v>0</x:v>
      </x:c>
      <x:c r="AX15" s="2"/>
      <x:c r="AY15" s="2" t="s">
        <x:v>68</x:v>
      </x:c>
      <x:c r="AZ15" s="6">
        <x:v>23</x:v>
      </x:c>
      <x:c r="BA15" s="6"/>
      <x:c r="BB15" s="7"/>
      <x:c r="BC15" s="7"/>
      <x:c r="BD15" s="8"/>
      <x:c r="BE15" s="2" t="e">
        <x:f>IF(AE15="Blocked","No",IF(AJ15&lt;=[1]Model_Parameters!$B$20,"Yes","No"))</x:f>
        <x:v>#NAME?</x:v>
      </x:c>
      <x:c r="BF15" s="2" t="str">
        <x:f t="shared" si="3"/>
        <x:v>Yes</x:v>
      </x:c>
      <x:c r="BG15" s="2" t="str">
        <x:f t="shared" si="4"/>
        <x:v>Yes</x:v>
      </x:c>
      <x:c r="BH15" s="24"/>
      <x:c r="BI15" s="24"/>
    </x:row>
    <x:row r="16">
      <x:c r="A16" s="2" t="s">
        <x:v>59</x:v>
      </x:c>
      <x:c r="B16" s="3">
        <x:v>34</x:v>
      </x:c>
      <x:c r="C16" s="2" t="s">
        <x:v>123</x:v>
      </x:c>
      <x:c r="D16" s="2" t="s">
        <x:v>124</x:v>
      </x:c>
      <x:c r="E16" s="2" t="s">
        <x:v>62</x:v>
      </x:c>
      <x:c r="F16" s="2" t="s">
        <x:v>63</x:v>
      </x:c>
      <x:c r="G16" s="3">
        <x:v>14</x:v>
      </x:c>
      <x:c r="H16" s="3">
        <x:v>0</x:v>
      </x:c>
      <x:c r="I16" s="3">
        <x:v>120</x:v>
      </x:c>
      <x:c r="J16" s="4">
        <x:v>9.3023255813953487E-2</x:v>
      </x:c>
      <x:c r="K16" s="3">
        <x:v>0</x:v>
      </x:c>
      <x:c r="L16" s="2" t="s">
        <x:v>125</x:v>
      </x:c>
      <x:c r="M16" s="3">
        <x:v>337</x:v>
      </x:c>
      <x:c r="N16" s="3">
        <x:v>23</x:v>
      </x:c>
      <x:c r="O16" s="5">
        <x:v>83.050673143175231</x:v>
      </x:c>
      <x:c r="P16" s="5">
        <x:v>38.097061128420968</x:v>
      </x:c>
      <x:c r="Q16" s="5"/>
      <x:c r="R16" s="5">
        <x:v>87.892019074194224</x:v>
      </x:c>
      <x:c r="S16" s="5">
        <x:f t="shared" si="0"/>
        <x:v>41.355047765325708</x:v>
      </x:c>
      <x:c r="T16" s="5">
        <x:f t="shared" si="1"/>
        <x:v>41.355047765325708</x:v>
      </x:c>
      <x:c r="U16" s="5" t="e">
        <x:f>T16/[1]Model_Parameters!$B$22</x:f>
        <x:v>#NAME?</x:v>
      </x:c>
      <x:c r="V16" s="5">
        <x:v>197.023572877248</x:v>
      </x:c>
      <x:c r="W16" s="5">
        <x:v>197.023572877248</x:v>
      </x:c>
      <x:c r="X16" s="5">
        <x:v>91.594173283160998</x:v>
      </x:c>
      <x:c r="Y16" s="3">
        <x:v>10</x:v>
      </x:c>
      <x:c r="Z16" s="3">
        <x:v>1</x:v>
      </x:c>
      <x:c r="AA16" s="3">
        <x:v>1</x:v>
      </x:c>
      <x:c r="AB16" s="2"/>
      <x:c r="AC16" s="3"/>
      <x:c r="AD16" s="3"/>
      <x:c r="AE16" s="2" t="s">
        <x:v>120</x:v>
      </x:c>
      <x:c r="AF16" s="3">
        <x:v>8</x:v>
      </x:c>
      <x:c r="AG16" s="3">
        <x:v>0</x:v>
      </x:c>
      <x:c r="AH16" s="2" t="s">
        <x:v>126</x:v>
      </x:c>
      <x:c r="AI16" s="3">
        <x:v>23</x:v>
      </x:c>
      <x:c r="AJ16" s="3">
        <x:v>1</x:v>
      </x:c>
      <x:c r="AK16" s="2" t="s">
        <x:v>66</x:v>
      </x:c>
      <x:c r="AL16" s="3">
        <x:v>0</x:v>
      </x:c>
      <x:c r="AM16" s="2" t="s">
        <x:v>127</x:v>
      </x:c>
      <x:c r="AN16" s="3">
        <x:v>24</x:v>
      </x:c>
      <x:c r="AO16" s="3">
        <x:v>18</x:v>
      </x:c>
      <x:c r="AP16" s="3">
        <x:v>19</x:v>
      </x:c>
      <x:c r="AQ16" s="5">
        <x:v>45.150304089188793</x:v>
      </x:c>
      <x:c r="AR16" s="5">
        <x:v>41.355047765325708</x:v>
      </x:c>
      <x:c r="AS16" s="5">
        <x:f t="shared" si="2"/>
        <x:v>100</x:v>
      </x:c>
      <x:c r="AT16" s="5">
        <x:v>150.5010136306293</x:v>
      </x:c>
      <x:c r="AU16" s="5">
        <x:v>197.023572877248</x:v>
      </x:c>
      <x:c r="AV16" s="5">
        <x:v>87.892019074194224</x:v>
      </x:c>
      <x:c r="AW16" s="2" t="b">
        <x:v>0</x:v>
      </x:c>
      <x:c r="AX16" s="2"/>
      <x:c r="AY16" s="2" t="s">
        <x:v>68</x:v>
      </x:c>
      <x:c r="AZ16" s="6">
        <x:v>23</x:v>
      </x:c>
      <x:c r="BA16" s="6"/>
      <x:c r="BB16" s="7"/>
      <x:c r="BC16" s="7"/>
      <x:c r="BD16" s="8"/>
      <x:c r="BE16" s="2" t="e">
        <x:f>IF(AE16="Blocked","No",IF(AJ16&lt;=[1]Model_Parameters!$B$20,"Yes","No"))</x:f>
        <x:v>#NAME?</x:v>
      </x:c>
      <x:c r="BF16" s="2" t="str">
        <x:f t="shared" si="3"/>
        <x:v>Yes</x:v>
      </x:c>
      <x:c r="BG16" s="2" t="str">
        <x:f t="shared" si="4"/>
        <x:v>Yes</x:v>
      </x:c>
      <x:c r="BH16" s="24"/>
      <x:c r="BI16" s="24"/>
    </x:row>
    <x:row r="17">
      <x:c r="A17" s="2" t="s">
        <x:v>59</x:v>
      </x:c>
      <x:c r="B17" s="3">
        <x:v>35</x:v>
      </x:c>
      <x:c r="C17" s="2" t="s">
        <x:v>128</x:v>
      </x:c>
      <x:c r="D17" s="2" t="s">
        <x:v>129</x:v>
      </x:c>
      <x:c r="E17" s="2" t="s">
        <x:v>62</x:v>
      </x:c>
      <x:c r="F17" s="2" t="s">
        <x:v>63</x:v>
      </x:c>
      <x:c r="G17" s="3">
        <x:v>15</x:v>
      </x:c>
      <x:c r="H17" s="3">
        <x:v>0</x:v>
      </x:c>
      <x:c r="I17" s="3">
        <x:v>120</x:v>
      </x:c>
      <x:c r="J17" s="4">
        <x:v>9.3023255813953487E-2</x:v>
      </x:c>
      <x:c r="K17" s="3">
        <x:v>0</x:v>
      </x:c>
      <x:c r="L17" s="2" t="s">
        <x:v>126</x:v>
      </x:c>
      <x:c r="M17" s="3">
        <x:v>338</x:v>
      </x:c>
      <x:c r="N17" s="3">
        <x:v>23</x:v>
      </x:c>
      <x:c r="O17" s="5">
        <x:v>135.97444456340079</x:v>
      </x:c>
      <x:c r="P17" s="5">
        <x:v>12.70941911017017</x:v>
      </x:c>
      <x:c r="Q17" s="5"/>
      <x:c r="R17" s="5">
        <x:v>66.931433869957502</x:v>
      </x:c>
      <x:c r="S17" s="5">
        <x:f t="shared" si="0"/>
        <x:v>73.728083400706012</x:v>
      </x:c>
      <x:c r="T17" s="5">
        <x:f t="shared" si="1"/>
        <x:v>73.728083400706012</x:v>
      </x:c>
      <x:c r="U17" s="5" t="e">
        <x:f>T17/[1]Model_Parameters!$B$22</x:f>
        <x:v>#NAME?</x:v>
      </x:c>
      <x:c r="V17" s="5">
        <x:v>83.83083785050195</x:v>
      </x:c>
      <x:c r="W17" s="5">
        <x:v>83.83083785050195</x:v>
      </x:c>
      <x:c r="X17" s="5">
        <x:v>91.434512757023228</x:v>
      </x:c>
      <x:c r="Y17" s="3">
        <x:v>10</x:v>
      </x:c>
      <x:c r="Z17" s="3">
        <x:v>1</x:v>
      </x:c>
      <x:c r="AA17" s="3">
        <x:v>1</x:v>
      </x:c>
      <x:c r="AB17" s="2"/>
      <x:c r="AC17" s="3"/>
      <x:c r="AD17" s="3"/>
      <x:c r="AE17" s="2" t="s">
        <x:v>120</x:v>
      </x:c>
      <x:c r="AF17" s="3">
        <x:v>7</x:v>
      </x:c>
      <x:c r="AG17" s="3">
        <x:v>0</x:v>
      </x:c>
      <x:c r="AH17" s="2" t="s">
        <x:v>103</x:v>
      </x:c>
      <x:c r="AI17" s="3">
        <x:v>23</x:v>
      </x:c>
      <x:c r="AJ17" s="3">
        <x:v>1</x:v>
      </x:c>
      <x:c r="AK17" s="2" t="s">
        <x:v>66</x:v>
      </x:c>
      <x:c r="AL17" s="3">
        <x:v>0</x:v>
      </x:c>
      <x:c r="AM17" s="2" t="s">
        <x:v>130</x:v>
      </x:c>
      <x:c r="AN17" s="3">
        <x:v>27</x:v>
      </x:c>
      <x:c r="AO17" s="3">
        <x:v>58</x:v>
      </x:c>
      <x:c r="AP17" s="3">
        <x:v>59</x:v>
      </x:c>
      <x:c r="AQ17" s="5">
        <x:v>80.634851302406986</x:v>
      </x:c>
      <x:c r="AR17" s="5">
        <x:v>73.728083400706097</x:v>
      </x:c>
      <x:c r="AS17" s="5">
        <x:f t="shared" si="2"/>
        <x:v>100.00000000000011</x:v>
      </x:c>
      <x:c r="AT17" s="5">
        <x:v>83.415363416283085</x:v>
      </x:c>
      <x:c r="AU17" s="5">
        <x:v>83.83083785050195</x:v>
      </x:c>
      <x:c r="AV17" s="5">
        <x:v>66.931433869957502</x:v>
      </x:c>
      <x:c r="AW17" s="2" t="b">
        <x:v>0</x:v>
      </x:c>
      <x:c r="AX17" s="2"/>
      <x:c r="AY17" s="2" t="s">
        <x:v>68</x:v>
      </x:c>
      <x:c r="AZ17" s="6">
        <x:v>23</x:v>
      </x:c>
      <x:c r="BA17" s="6"/>
      <x:c r="BB17" s="7"/>
      <x:c r="BC17" s="7"/>
      <x:c r="BD17" s="8"/>
      <x:c r="BE17" s="2" t="e">
        <x:f>IF(AE17="Blocked","No",IF(AJ17&lt;=[1]Model_Parameters!$B$20,"Yes","No"))</x:f>
        <x:v>#NAME?</x:v>
      </x:c>
      <x:c r="BF17" s="2" t="str">
        <x:f t="shared" si="3"/>
        <x:v>Yes</x:v>
      </x:c>
      <x:c r="BG17" s="2" t="str">
        <x:f t="shared" si="4"/>
        <x:v>Yes</x:v>
      </x:c>
      <x:c r="BH17" s="24"/>
      <x:c r="BI17" s="24"/>
    </x:row>
    <x:row r="18">
      <x:c r="A18" s="2" t="s">
        <x:v>59</x:v>
      </x:c>
      <x:c r="B18" s="3">
        <x:v>37</x:v>
      </x:c>
      <x:c r="C18" s="2" t="s">
        <x:v>131</x:v>
      </x:c>
      <x:c r="D18" s="2" t="s">
        <x:v>132</x:v>
      </x:c>
      <x:c r="E18" s="2" t="s">
        <x:v>79</x:v>
      </x:c>
      <x:c r="F18" s="2" t="s">
        <x:v>80</x:v>
      </x:c>
      <x:c r="G18" s="3">
        <x:v>2</x:v>
      </x:c>
      <x:c r="H18" s="3">
        <x:v>1</x:v>
      </x:c>
      <x:c r="I18" s="3">
        <x:v>30</x:v>
      </x:c>
      <x:c r="J18" s="4">
        <x:v>5.4945054945054937E-2</x:v>
      </x:c>
      <x:c r="K18" s="3">
        <x:v>0</x:v>
      </x:c>
      <x:c r="L18" s="2" t="s">
        <x:v>133</x:v>
      </x:c>
      <x:c r="M18" s="3">
        <x:v>343</x:v>
      </x:c>
      <x:c r="N18" s="3">
        <x:v>23</x:v>
      </x:c>
      <x:c r="O18" s="5">
        <x:v>82.355226050033281</x:v>
      </x:c>
      <x:c r="P18" s="5">
        <x:v>15.856486065937821</x:v>
      </x:c>
      <x:c r="Q18" s="5"/>
      <x:c r="R18" s="5">
        <x:v>79.024658704829648</x:v>
      </x:c>
      <x:c r="S18" s="5">
        <x:f t="shared" si="0"/>
        <x:v>52.022291368434637</x:v>
      </x:c>
      <x:c r="T18" s="5">
        <x:f t="shared" si="1"/>
        <x:v>52.022291368434637</x:v>
      </x:c>
      <x:c r="U18" s="5" t="e">
        <x:f>T18/[1]Model_Parameters!$B$22</x:f>
        <x:v>#NAME?</x:v>
      </x:c>
      <x:c r="V18" s="5">
        <x:v>388.92426373715909</x:v>
      </x:c>
      <x:c r="W18" s="5">
        <x:v>388.92426373715909</x:v>
      </x:c>
      <x:c r="X18" s="5">
        <x:v>93.062758039021816</x:v>
      </x:c>
      <x:c r="Y18" s="3">
        <x:v>10</x:v>
      </x:c>
      <x:c r="Z18" s="3">
        <x:v>1</x:v>
      </x:c>
      <x:c r="AA18" s="3">
        <x:v>2</x:v>
      </x:c>
      <x:c r="AB18" s="2"/>
      <x:c r="AC18" s="3"/>
      <x:c r="AD18" s="3"/>
      <x:c r="AE18" s="2" t="s">
        <x:v>120</x:v>
      </x:c>
      <x:c r="AF18" s="3">
        <x:v>1</x:v>
      </x:c>
      <x:c r="AG18" s="3">
        <x:v>0</x:v>
      </x:c>
      <x:c r="AH18" s="2" t="s">
        <x:v>134</x:v>
      </x:c>
      <x:c r="AI18" s="3">
        <x:v>24</x:v>
      </x:c>
      <x:c r="AJ18" s="3">
        <x:v>6</x:v>
      </x:c>
      <x:c r="AK18" s="2" t="s">
        <x:v>66</x:v>
      </x:c>
      <x:c r="AL18" s="3">
        <x:v>0</x:v>
      </x:c>
      <x:c r="AM18" s="2" t="s">
        <x:v>135</x:v>
      </x:c>
      <x:c r="AN18" s="3">
        <x:v>24</x:v>
      </x:c>
      <x:c r="AO18" s="3">
        <x:v>9</x:v>
      </x:c>
      <x:c r="AP18" s="3">
        <x:v>15</x:v>
      </x:c>
      <x:c r="AQ18" s="5">
        <x:v>55.900225250815552</x:v>
      </x:c>
      <x:c r="AR18" s="5">
        <x:v>52.022291368434658</x:v>
      </x:c>
      <x:c r="AS18" s="5">
        <x:f t="shared" si="2"/>
        <x:v>100.00000000000004</x:v>
      </x:c>
      <x:c r="AT18" s="5">
        <x:v>372.66816833877039</x:v>
      </x:c>
      <x:c r="AU18" s="5">
        <x:v>388.92426373715909</x:v>
      </x:c>
      <x:c r="AV18" s="5">
        <x:v>79.024658704829648</x:v>
      </x:c>
      <x:c r="AW18" s="2" t="b">
        <x:v>0</x:v>
      </x:c>
      <x:c r="AX18" s="2"/>
      <x:c r="AY18" s="2" t="s">
        <x:v>83</x:v>
      </x:c>
      <x:c r="AZ18" s="6">
        <x:v>23</x:v>
      </x:c>
      <x:c r="BA18" s="6"/>
      <x:c r="BB18" s="7"/>
      <x:c r="BC18" s="7"/>
      <x:c r="BD18" s="8"/>
      <x:c r="BE18" s="2" t="e">
        <x:f>IF(AE18="Blocked","No",IF(AJ18&lt;=[1]Model_Parameters!$B$20,"Yes","No"))</x:f>
        <x:v>#NAME?</x:v>
      </x:c>
      <x:c r="BF18" s="2" t="str">
        <x:f t="shared" si="3"/>
        <x:v>Yes</x:v>
      </x:c>
      <x:c r="BG18" s="2" t="str">
        <x:f t="shared" si="4"/>
        <x:v>Yes</x:v>
      </x:c>
      <x:c r="BH18" s="24" t="str">
        <x:v>03:45</x:v>
      </x:c>
      <x:c r="BI18" s="24" t="str">
        <x:v>10:00</x:v>
      </x:c>
    </x:row>
    <x:row r="19">
      <x:c r="A19" s="2" t="s">
        <x:v>59</x:v>
      </x:c>
      <x:c r="B19" s="3">
        <x:v>39</x:v>
      </x:c>
      <x:c r="C19" s="2" t="s">
        <x:v>136</x:v>
      </x:c>
      <x:c r="D19" s="2" t="s">
        <x:v>137</x:v>
      </x:c>
      <x:c r="E19" s="2" t="s">
        <x:v>62</x:v>
      </x:c>
      <x:c r="F19" s="2" t="s">
        <x:v>63</x:v>
      </x:c>
      <x:c r="G19" s="3">
        <x:v>16</x:v>
      </x:c>
      <x:c r="H19" s="3">
        <x:v>0</x:v>
      </x:c>
      <x:c r="I19" s="3">
        <x:v>120</x:v>
      </x:c>
      <x:c r="J19" s="4">
        <x:v>9.3023255813953487E-2</x:v>
      </x:c>
      <x:c r="K19" s="3">
        <x:v>0</x:v>
      </x:c>
      <x:c r="L19" s="2" t="s">
        <x:v>109</x:v>
      </x:c>
      <x:c r="M19" s="3">
        <x:v>350</x:v>
      </x:c>
      <x:c r="N19" s="3">
        <x:v>24</x:v>
      </x:c>
      <x:c r="O19" s="5">
        <x:v>84.603708030011603</x:v>
      </x:c>
      <x:c r="P19" s="5">
        <x:v>26.653886790885199</x:v>
      </x:c>
      <x:c r="Q19" s="5"/>
      <x:c r="R19" s="5">
        <x:v>59.402167639001433</x:v>
      </x:c>
      <x:c r="S19" s="5">
        <x:f t="shared" si="0"/>
        <x:v>27.706259913588468</x:v>
      </x:c>
      <x:c r="T19" s="5">
        <x:f t="shared" si="1"/>
        <x:v>27.706259913588468</x:v>
      </x:c>
      <x:c r="U19" s="5" t="e">
        <x:f>T19/[1]Model_Parameters!$B$22</x:f>
        <x:v>#NAME?</x:v>
      </x:c>
      <x:c r="V19" s="5">
        <x:v>196.63235210177911</x:v>
      </x:c>
      <x:c r="W19" s="5">
        <x:v>196.63235210177911</x:v>
      </x:c>
      <x:c r="X19" s="5">
        <x:v>92.133368763620751</x:v>
      </x:c>
      <x:c r="Y19" s="3">
        <x:v>9</x:v>
      </x:c>
      <x:c r="Z19" s="3">
        <x:v>0</x:v>
      </x:c>
      <x:c r="AA19" s="3"/>
      <x:c r="AB19" s="2"/>
      <x:c r="AC19" s="3"/>
      <x:c r="AD19" s="3"/>
      <x:c r="AE19" s="2" t="s">
        <x:v>65</x:v>
      </x:c>
      <x:c r="AF19" s="3">
        <x:v>9</x:v>
      </x:c>
      <x:c r="AG19" s="3">
        <x:v>0</x:v>
      </x:c>
      <x:c r="AH19" s="2" t="s">
        <x:v>109</x:v>
      </x:c>
      <x:c r="AI19" s="3">
        <x:v>24</x:v>
      </x:c>
      <x:c r="AJ19" s="3">
        <x:v>0</x:v>
      </x:c>
      <x:c r="AK19" s="2" t="s">
        <x:v>66</x:v>
      </x:c>
      <x:c r="AL19" s="3">
        <x:v>0</x:v>
      </x:c>
      <x:c r="AM19" s="2" t="s">
        <x:v>138</x:v>
      </x:c>
      <x:c r="AN19" s="3">
        <x:v>25</x:v>
      </x:c>
      <x:c r="AO19" s="3">
        <x:v>10</x:v>
      </x:c>
      <x:c r="AP19" s="3">
        <x:v>10</x:v>
      </x:c>
      <x:c r="AQ19" s="5">
        <x:v>30.071905852777611</x:v>
      </x:c>
      <x:c r="AR19" s="5">
        <x:v>27.70625991358845</x:v>
      </x:c>
      <x:c r="AS19" s="5">
        <x:f t="shared" si="2"/>
        <x:v>99.999999999999929</x:v>
      </x:c>
      <x:c r="AT19" s="5">
        <x:v>180.43143511666571</x:v>
      </x:c>
      <x:c r="AU19" s="5">
        <x:v>196.63235210177911</x:v>
      </x:c>
      <x:c r="AV19" s="5">
        <x:v>59.402167639001433</x:v>
      </x:c>
      <x:c r="AW19" s="2" t="b">
        <x:v>0</x:v>
      </x:c>
      <x:c r="AX19" s="2"/>
      <x:c r="AY19" s="2" t="s">
        <x:v>68</x:v>
      </x:c>
      <x:c r="AZ19" s="6">
        <x:v>24</x:v>
      </x:c>
      <x:c r="BA19" s="6"/>
      <x:c r="BB19" s="7"/>
      <x:c r="BC19" s="7"/>
      <x:c r="BD19" s="8"/>
      <x:c r="BE19" s="2" t="e">
        <x:f>IF(AE19="Blocked","No",IF(AJ19&lt;=[1]Model_Parameters!$B$20,"Yes","No"))</x:f>
        <x:v>#NAME?</x:v>
      </x:c>
      <x:c r="BF19" s="2" t="str">
        <x:f t="shared" si="3"/>
        <x:v>Yes</x:v>
      </x:c>
      <x:c r="BG19" s="2" t="str">
        <x:f t="shared" si="4"/>
        <x:v>Yes</x:v>
      </x:c>
      <x:c r="BH19" s="24"/>
      <x:c r="BI19" s="24"/>
    </x:row>
    <x:row r="20">
      <x:c r="A20" s="2" t="s">
        <x:v>59</x:v>
      </x:c>
      <x:c r="B20" s="3">
        <x:v>42</x:v>
      </x:c>
      <x:c r="C20" s="2" t="s">
        <x:v>139</x:v>
      </x:c>
      <x:c r="D20" s="2" t="s">
        <x:v>140</x:v>
      </x:c>
      <x:c r="E20" s="2" t="s">
        <x:v>62</x:v>
      </x:c>
      <x:c r="F20" s="2" t="s">
        <x:v>63</x:v>
      </x:c>
      <x:c r="G20" s="3">
        <x:v>17</x:v>
      </x:c>
      <x:c r="H20" s="3">
        <x:v>0</x:v>
      </x:c>
      <x:c r="I20" s="3">
        <x:v>120</x:v>
      </x:c>
      <x:c r="J20" s="4">
        <x:v>9.3023255813953487E-2</x:v>
      </x:c>
      <x:c r="K20" s="3">
        <x:v>0</x:v>
      </x:c>
      <x:c r="L20" s="2" t="s">
        <x:v>141</x:v>
      </x:c>
      <x:c r="M20" s="3">
        <x:v>354</x:v>
      </x:c>
      <x:c r="N20" s="3">
        <x:v>24</x:v>
      </x:c>
      <x:c r="O20" s="5">
        <x:v>123.5673378240852</x:v>
      </x:c>
      <x:c r="P20" s="5">
        <x:v>24.104169965705282</x:v>
      </x:c>
      <x:c r="Q20" s="5"/>
      <x:c r="R20" s="5">
        <x:v>97.954844245179032</x:v>
      </x:c>
      <x:c r="S20" s="5">
        <x:f t="shared" si="0"/>
        <x:v>91.255312172282117</x:v>
      </x:c>
      <x:c r="T20" s="5">
        <x:f t="shared" si="1"/>
        <x:v>91.255312172282117</x:v>
      </x:c>
      <x:c r="U20" s="5" t="e">
        <x:f>T20/[1]Model_Parameters!$B$22</x:f>
        <x:v>#NAME?</x:v>
      </x:c>
      <x:c r="V20" s="5">
        <x:v>178.50319608401219</x:v>
      </x:c>
      <x:c r="W20" s="5">
        <x:v>178.50319608401219</x:v>
      </x:c>
      <x:c r="X20" s="5">
        <x:v>92.151268198600903</x:v>
      </x:c>
      <x:c r="Y20" s="3">
        <x:v>10</x:v>
      </x:c>
      <x:c r="Z20" s="3">
        <x:v>2</x:v>
      </x:c>
      <x:c r="AA20" s="3">
        <x:v>1</x:v>
      </x:c>
      <x:c r="AB20" s="2"/>
      <x:c r="AC20" s="3"/>
      <x:c r="AD20" s="3"/>
      <x:c r="AE20" s="2" t="s">
        <x:v>120</x:v>
      </x:c>
      <x:c r="AF20" s="3">
        <x:v>10</x:v>
      </x:c>
      <x:c r="AG20" s="3">
        <x:v>0</x:v>
      </x:c>
      <x:c r="AH20" s="2" t="s">
        <x:v>116</x:v>
      </x:c>
      <x:c r="AI20" s="3">
        <x:v>24</x:v>
      </x:c>
      <x:c r="AJ20" s="3">
        <x:v>1</x:v>
      </x:c>
      <x:c r="AK20" s="2" t="s">
        <x:v>66</x:v>
      </x:c>
      <x:c r="AL20" s="3">
        <x:v>0</x:v>
      </x:c>
      <x:c r="AM20" s="2" t="s">
        <x:v>142</x:v>
      </x:c>
      <x:c r="AN20" s="3">
        <x:v>28</x:v>
      </x:c>
      <x:c r="AO20" s="3">
        <x:v>52</x:v>
      </x:c>
      <x:c r="AP20" s="3">
        <x:v>53</x:v>
      </x:c>
      <x:c r="AQ20" s="5">
        <x:v>99.02773337379594</x:v>
      </x:c>
      <x:c r="AR20" s="5">
        <x:v>91.255312172282075</x:v>
      </x:c>
      <x:c r="AS20" s="5">
        <x:f t="shared" si="2"/>
        <x:v>99.999999999999957</x:v>
      </x:c>
      <x:c r="AT20" s="5">
        <x:v>114.2627692774569</x:v>
      </x:c>
      <x:c r="AU20" s="5">
        <x:v>178.5031960840123</x:v>
      </x:c>
      <x:c r="AV20" s="5">
        <x:v>97.954844245179032</x:v>
      </x:c>
      <x:c r="AW20" s="2" t="b">
        <x:v>0</x:v>
      </x:c>
      <x:c r="AX20" s="2"/>
      <x:c r="AY20" s="2" t="s">
        <x:v>68</x:v>
      </x:c>
      <x:c r="AZ20" s="6">
        <x:v>24</x:v>
      </x:c>
      <x:c r="BA20" s="6"/>
      <x:c r="BB20" s="7"/>
      <x:c r="BC20" s="7"/>
      <x:c r="BD20" s="8"/>
      <x:c r="BE20" s="2" t="e">
        <x:f>IF(AE20="Blocked","No",IF(AJ20&lt;=[1]Model_Parameters!$B$20,"Yes","No"))</x:f>
        <x:v>#NAME?</x:v>
      </x:c>
      <x:c r="BF20" s="2" t="str">
        <x:f t="shared" si="3"/>
        <x:v>Yes</x:v>
      </x:c>
      <x:c r="BG20" s="2" t="str">
        <x:f t="shared" si="4"/>
        <x:v>Yes</x:v>
      </x:c>
      <x:c r="BH20" s="24"/>
      <x:c r="BI20" s="24"/>
    </x:row>
    <x:row r="21">
      <x:c r="A21" s="2" t="s">
        <x:v>59</x:v>
      </x:c>
      <x:c r="B21" s="3">
        <x:v>43</x:v>
      </x:c>
      <x:c r="C21" s="2" t="s">
        <x:v>143</x:v>
      </x:c>
      <x:c r="D21" s="2" t="s">
        <x:v>144</x:v>
      </x:c>
      <x:c r="E21" s="2" t="s">
        <x:v>62</x:v>
      </x:c>
      <x:c r="F21" s="2" t="s">
        <x:v>63</x:v>
      </x:c>
      <x:c r="G21" s="3">
        <x:v>18</x:v>
      </x:c>
      <x:c r="H21" s="3">
        <x:v>0</x:v>
      </x:c>
      <x:c r="I21" s="3">
        <x:v>120</x:v>
      </x:c>
      <x:c r="J21" s="4">
        <x:v>9.3023255813953487E-2</x:v>
      </x:c>
      <x:c r="K21" s="3">
        <x:v>0</x:v>
      </x:c>
      <x:c r="L21" s="2" t="s">
        <x:v>141</x:v>
      </x:c>
      <x:c r="M21" s="3">
        <x:v>354</x:v>
      </x:c>
      <x:c r="N21" s="3">
        <x:v>24</x:v>
      </x:c>
      <x:c r="O21" s="5">
        <x:v>120.06687135126199</x:v>
      </x:c>
      <x:c r="P21" s="5">
        <x:v>34.424535346646799</x:v>
      </x:c>
      <x:c r="Q21" s="5"/>
      <x:c r="R21" s="5">
        <x:v>78.613554539122589</x:v>
      </x:c>
      <x:c r="S21" s="5">
        <x:f t="shared" si="0"/>
        <x:v>53.056372825214375</x:v>
      </x:c>
      <x:c r="T21" s="5">
        <x:f t="shared" si="1"/>
        <x:v>53.056372825214375</x:v>
      </x:c>
      <x:c r="U21" s="5" t="e">
        <x:f>T21/[1]Model_Parameters!$B$22</x:f>
        <x:v>#NAME?</x:v>
      </x:c>
      <x:c r="V21" s="5">
        <x:v>302.20202603445227</x:v>
      </x:c>
      <x:c r="W21" s="5">
        <x:v>302.20202603445227</x:v>
      </x:c>
      <x:c r="X21" s="5">
        <x:v>92.15909447597727</x:v>
      </x:c>
      <x:c r="Y21" s="3">
        <x:v>10</x:v>
      </x:c>
      <x:c r="Z21" s="3">
        <x:v>3</x:v>
      </x:c>
      <x:c r="AA21" s="3">
        <x:v>2</x:v>
      </x:c>
      <x:c r="AB21" s="2"/>
      <x:c r="AC21" s="3"/>
      <x:c r="AD21" s="3"/>
      <x:c r="AE21" s="2" t="s">
        <x:v>120</x:v>
      </x:c>
      <x:c r="AF21" s="3">
        <x:v>8</x:v>
      </x:c>
      <x:c r="AG21" s="3">
        <x:v>0</x:v>
      </x:c>
      <x:c r="AH21" s="2" t="s">
        <x:v>127</x:v>
      </x:c>
      <x:c r="AI21" s="3">
        <x:v>24</x:v>
      </x:c>
      <x:c r="AJ21" s="3">
        <x:v>2</x:v>
      </x:c>
      <x:c r="AK21" s="2" t="s">
        <x:v>66</x:v>
      </x:c>
      <x:c r="AL21" s="3">
        <x:v>0</x:v>
      </x:c>
      <x:c r="AM21" s="2" t="s">
        <x:v>145</x:v>
      </x:c>
      <x:c r="AN21" s="3">
        <x:v>25</x:v>
      </x:c>
      <x:c r="AO21" s="3">
        <x:v>13</x:v>
      </x:c>
      <x:c r="AP21" s="3">
        <x:v>15</x:v>
      </x:c>
      <x:c r="AQ21" s="5">
        <x:v>57.570414647514127</x:v>
      </x:c>
      <x:c r="AR21" s="5">
        <x:v>53.056372825214403</x:v>
      </x:c>
      <x:c r="AS21" s="5">
        <x:f t="shared" si="2"/>
        <x:v>100.00000000000004</x:v>
      </x:c>
      <x:c r="AT21" s="5">
        <x:v>265.7096060654498</x:v>
      </x:c>
      <x:c r="AU21" s="5">
        <x:v>302.20202603445227</x:v>
      </x:c>
      <x:c r="AV21" s="5">
        <x:v>78.613554539122589</x:v>
      </x:c>
      <x:c r="AW21" s="2" t="b">
        <x:v>0</x:v>
      </x:c>
      <x:c r="AX21" s="2"/>
      <x:c r="AY21" s="2" t="s">
        <x:v>68</x:v>
      </x:c>
      <x:c r="AZ21" s="6">
        <x:v>24</x:v>
      </x:c>
      <x:c r="BA21" s="6"/>
      <x:c r="BB21" s="7"/>
      <x:c r="BC21" s="7"/>
      <x:c r="BD21" s="8"/>
      <x:c r="BE21" s="2" t="e">
        <x:f>IF(AE21="Blocked","No",IF(AJ21&lt;=[1]Model_Parameters!$B$20,"Yes","No"))</x:f>
        <x:v>#NAME?</x:v>
      </x:c>
      <x:c r="BF21" s="2" t="str">
        <x:f t="shared" si="3"/>
        <x:v>Yes</x:v>
      </x:c>
      <x:c r="BG21" s="2" t="str">
        <x:f t="shared" si="4"/>
        <x:v>Yes</x:v>
      </x:c>
      <x:c r="BH21" s="24"/>
      <x:c r="BI21" s="24"/>
    </x:row>
    <x:row r="22">
      <x:c r="A22" s="2" t="s">
        <x:v>59</x:v>
      </x:c>
      <x:c r="B22" s="3">
        <x:v>48</x:v>
      </x:c>
      <x:c r="C22" s="2" t="s">
        <x:v>146</x:v>
      </x:c>
      <x:c r="D22" s="2" t="s">
        <x:v>147</x:v>
      </x:c>
      <x:c r="E22" s="2" t="s">
        <x:v>62</x:v>
      </x:c>
      <x:c r="F22" s="2" t="s">
        <x:v>63</x:v>
      </x:c>
      <x:c r="G22" s="3">
        <x:v>19</x:v>
      </x:c>
      <x:c r="H22" s="3">
        <x:v>0</x:v>
      </x:c>
      <x:c r="I22" s="3">
        <x:v>120</x:v>
      </x:c>
      <x:c r="J22" s="4">
        <x:v>9.3023255813953487E-2</x:v>
      </x:c>
      <x:c r="K22" s="3">
        <x:v>0</x:v>
      </x:c>
      <x:c r="L22" s="2" t="s">
        <x:v>148</x:v>
      </x:c>
      <x:c r="M22" s="3">
        <x:v>380</x:v>
      </x:c>
      <x:c r="N22" s="3">
        <x:v>26</x:v>
      </x:c>
      <x:c r="O22" s="5">
        <x:v>167.39936032674561</x:v>
      </x:c>
      <x:c r="P22" s="5">
        <x:v>21.26484835842454</x:v>
      </x:c>
      <x:c r="Q22" s="5"/>
      <x:c r="R22" s="5">
        <x:v>66.861126665391978</x:v>
      </x:c>
      <x:c r="S22" s="5">
        <x:f t="shared" si="0"/>
        <x:v>76.327878218666157</x:v>
      </x:c>
      <x:c r="T22" s="5">
        <x:f t="shared" si="1"/>
        <x:v>76.327878218666157</x:v>
      </x:c>
      <x:c r="U22" s="5" t="e">
        <x:f>T22/[1]Model_Parameters!$B$22</x:f>
        <x:v>#NAME?</x:v>
      </x:c>
      <x:c r="V22" s="5">
        <x:v>102.1731456399455</x:v>
      </x:c>
      <x:c r="W22" s="5">
        <x:v>102.1731456399455</x:v>
      </x:c>
      <x:c r="X22" s="5">
        <x:v>94.547953275338685</x:v>
      </x:c>
      <x:c r="Y22" s="3">
        <x:v>4</x:v>
      </x:c>
      <x:c r="Z22" s="3">
        <x:v>0</x:v>
      </x:c>
      <x:c r="AA22" s="3"/>
      <x:c r="AB22" s="2"/>
      <x:c r="AC22" s="3"/>
      <x:c r="AD22" s="3"/>
      <x:c r="AE22" s="2" t="s">
        <x:v>65</x:v>
      </x:c>
      <x:c r="AF22" s="3">
        <x:v>6</x:v>
      </x:c>
      <x:c r="AG22" s="3">
        <x:v>0</x:v>
      </x:c>
      <x:c r="AH22" s="2" t="s">
        <x:v>148</x:v>
      </x:c>
      <x:c r="AI22" s="3">
        <x:v>26</x:v>
      </x:c>
      <x:c r="AJ22" s="3">
        <x:v>0</x:v>
      </x:c>
      <x:c r="AK22" s="2" t="s">
        <x:v>66</x:v>
      </x:c>
      <x:c r="AL22" s="3">
        <x:v>0</x:v>
      </x:c>
      <x:c r="AM22" s="2" t="s">
        <x:v>149</x:v>
      </x:c>
      <x:c r="AN22" s="3">
        <x:v>29</x:v>
      </x:c>
      <x:c r="AO22" s="3">
        <x:v>48</x:v>
      </x:c>
      <x:c r="AP22" s="3">
        <x:v>48</x:v>
      </x:c>
      <x:c r="AQ22" s="5">
        <x:v>80.729276070511347</x:v>
      </x:c>
      <x:c r="AR22" s="5">
        <x:v>76.327878218666257</x:v>
      </x:c>
      <x:c r="AS22" s="5">
        <x:f t="shared" si="2"/>
        <x:v>100.00000000000013</x:v>
      </x:c>
      <x:c r="AT22" s="5">
        <x:v>100.91159508813919</x:v>
      </x:c>
      <x:c r="AU22" s="5">
        <x:v>102.1731456399455</x:v>
      </x:c>
      <x:c r="AV22" s="5">
        <x:v>66.861126665391978</x:v>
      </x:c>
      <x:c r="AW22" s="2" t="b">
        <x:v>0</x:v>
      </x:c>
      <x:c r="AX22" s="2"/>
      <x:c r="AY22" s="2" t="s">
        <x:v>68</x:v>
      </x:c>
      <x:c r="AZ22" s="6">
        <x:v>26</x:v>
      </x:c>
      <x:c r="BA22" s="6"/>
      <x:c r="BB22" s="7"/>
      <x:c r="BC22" s="7"/>
      <x:c r="BD22" s="8"/>
      <x:c r="BE22" s="2" t="e">
        <x:f>IF(AE22="Blocked","No",IF(AJ22&lt;=[1]Model_Parameters!$B$20,"Yes","No"))</x:f>
        <x:v>#NAME?</x:v>
      </x:c>
      <x:c r="BF22" s="2" t="str">
        <x:f t="shared" si="3"/>
        <x:v>Yes</x:v>
      </x:c>
      <x:c r="BG22" s="2" t="str">
        <x:f t="shared" si="4"/>
        <x:v>Yes</x:v>
      </x:c>
      <x:c r="BH22" s="24"/>
      <x:c r="BI22" s="24"/>
    </x:row>
    <x:row r="23">
      <x:c r="A23" s="2" t="s">
        <x:v>59</x:v>
      </x:c>
      <x:c r="B23" s="3">
        <x:v>49</x:v>
      </x:c>
      <x:c r="C23" s="2" t="s">
        <x:v>150</x:v>
      </x:c>
      <x:c r="D23" s="2" t="s">
        <x:v>151</x:v>
      </x:c>
      <x:c r="E23" s="2" t="s">
        <x:v>62</x:v>
      </x:c>
      <x:c r="F23" s="2" t="s">
        <x:v>63</x:v>
      </x:c>
      <x:c r="G23" s="3">
        <x:v>20</x:v>
      </x:c>
      <x:c r="H23" s="3">
        <x:v>0</x:v>
      </x:c>
      <x:c r="I23" s="3">
        <x:v>120</x:v>
      </x:c>
      <x:c r="J23" s="4">
        <x:v>9.3023255813953487E-2</x:v>
      </x:c>
      <x:c r="K23" s="3">
        <x:v>0</x:v>
      </x:c>
      <x:c r="L23" s="2" t="s">
        <x:v>148</x:v>
      </x:c>
      <x:c r="M23" s="3">
        <x:v>380</x:v>
      </x:c>
      <x:c r="N23" s="3">
        <x:v>26</x:v>
      </x:c>
      <x:c r="O23" s="5">
        <x:v>103.3908178338218</x:v>
      </x:c>
      <x:c r="P23" s="5">
        <x:v>6.6773394211243282</x:v>
      </x:c>
      <x:c r="Q23" s="5"/>
      <x:c r="R23" s="5">
        <x:v>82.179736472867631</x:v>
      </x:c>
      <x:c r="S23" s="5">
        <x:f t="shared" si="0"/>
        <x:v>78.062545795936757</x:v>
      </x:c>
      <x:c r="T23" s="5">
        <x:f t="shared" si="1"/>
        <x:v>78.062545795936757</x:v>
      </x:c>
      <x:c r="U23" s="5" t="e">
        <x:f>T23/[1]Model_Parameters!$B$22</x:f>
        <x:v>#NAME?</x:v>
      </x:c>
      <x:c r="V23" s="5">
        <x:v>340.06652956355299</x:v>
      </x:c>
      <x:c r="W23" s="5">
        <x:v>340.06652956355299</x:v>
      </x:c>
      <x:c r="X23" s="5">
        <x:v>90.34724972630741</x:v>
      </x:c>
      <x:c r="Y23" s="3">
        <x:v>5</x:v>
      </x:c>
      <x:c r="Z23" s="3">
        <x:v>0</x:v>
      </x:c>
      <x:c r="AA23" s="3"/>
      <x:c r="AB23" s="2"/>
      <x:c r="AC23" s="3"/>
      <x:c r="AD23" s="3"/>
      <x:c r="AE23" s="2" t="s">
        <x:v>65</x:v>
      </x:c>
      <x:c r="AF23" s="3">
        <x:v>8</x:v>
      </x:c>
      <x:c r="AG23" s="3">
        <x:v>0</x:v>
      </x:c>
      <x:c r="AH23" s="2" t="s">
        <x:v>148</x:v>
      </x:c>
      <x:c r="AI23" s="3">
        <x:v>26</x:v>
      </x:c>
      <x:c r="AJ23" s="3">
        <x:v>0</x:v>
      </x:c>
      <x:c r="AK23" s="2" t="s">
        <x:v>66</x:v>
      </x:c>
      <x:c r="AL23" s="3">
        <x:v>0</x:v>
      </x:c>
      <x:c r="AM23" s="2" t="s">
        <x:v>130</x:v>
      </x:c>
      <x:c r="AN23" s="3">
        <x:v>27</x:v>
      </x:c>
      <x:c r="AO23" s="3">
        <x:v>17</x:v>
      </x:c>
      <x:c r="AP23" s="3">
        <x:v>17</x:v>
      </x:c>
      <x:c r="AQ23" s="5">
        <x:v>86.402791487748416</x:v>
      </x:c>
      <x:c r="AR23" s="5">
        <x:v>78.062545795936742</x:v>
      </x:c>
      <x:c r="AS23" s="5">
        <x:f t="shared" si="2"/>
        <x:v>99.999999999999972</x:v>
      </x:c>
      <x:c r="AT23" s="5">
        <x:v>304.95102878028848</x:v>
      </x:c>
      <x:c r="AU23" s="5">
        <x:v>340.06652956355299</x:v>
      </x:c>
      <x:c r="AV23" s="5">
        <x:v>82.179736472867631</x:v>
      </x:c>
      <x:c r="AW23" s="2" t="b">
        <x:v>0</x:v>
      </x:c>
      <x:c r="AX23" s="2"/>
      <x:c r="AY23" s="2" t="s">
        <x:v>68</x:v>
      </x:c>
      <x:c r="AZ23" s="6">
        <x:v>26</x:v>
      </x:c>
      <x:c r="BA23" s="6"/>
      <x:c r="BB23" s="7"/>
      <x:c r="BC23" s="7"/>
      <x:c r="BD23" s="8"/>
      <x:c r="BE23" s="2" t="e">
        <x:f>IF(AE23="Blocked","No",IF(AJ23&lt;=[1]Model_Parameters!$B$20,"Yes","No"))</x:f>
        <x:v>#NAME?</x:v>
      </x:c>
      <x:c r="BF23" s="2" t="str">
        <x:f t="shared" si="3"/>
        <x:v>Yes</x:v>
      </x:c>
      <x:c r="BG23" s="2" t="str">
        <x:f t="shared" si="4"/>
        <x:v>Yes</x:v>
      </x:c>
      <x:c r="BH23" s="24"/>
      <x:c r="BI23" s="24"/>
    </x:row>
    <x:row r="24">
      <x:c r="A24" s="2" t="s">
        <x:v>59</x:v>
      </x:c>
      <x:c r="B24" s="3">
        <x:v>50</x:v>
      </x:c>
      <x:c r="C24" s="2" t="s">
        <x:v>152</x:v>
      </x:c>
      <x:c r="D24" s="2" t="s">
        <x:v>153</x:v>
      </x:c>
      <x:c r="E24" s="2" t="s">
        <x:v>62</x:v>
      </x:c>
      <x:c r="F24" s="2" t="s">
        <x:v>63</x:v>
      </x:c>
      <x:c r="G24" s="3">
        <x:v>21</x:v>
      </x:c>
      <x:c r="H24" s="3">
        <x:v>0</x:v>
      </x:c>
      <x:c r="I24" s="3">
        <x:v>120</x:v>
      </x:c>
      <x:c r="J24" s="4">
        <x:v>9.3023255813953487E-2</x:v>
      </x:c>
      <x:c r="K24" s="3">
        <x:v>0</x:v>
      </x:c>
      <x:c r="L24" s="2" t="s">
        <x:v>154</x:v>
      </x:c>
      <x:c r="M24" s="3">
        <x:v>384</x:v>
      </x:c>
      <x:c r="N24" s="3">
        <x:v>26</x:v>
      </x:c>
      <x:c r="O24" s="5">
        <x:v>85.267791952145714</x:v>
      </x:c>
      <x:c r="P24" s="5">
        <x:v>35.538924639816472</x:v>
      </x:c>
      <x:c r="Q24" s="5"/>
      <x:c r="R24" s="5">
        <x:v>86.011551212487376</x:v>
      </x:c>
      <x:c r="S24" s="5">
        <x:f t="shared" si="0"/>
        <x:v>43.036894218768438</x:v>
      </x:c>
      <x:c r="T24" s="5">
        <x:f t="shared" si="1"/>
        <x:v>43.036894218768438</x:v>
      </x:c>
      <x:c r="U24" s="5" t="e">
        <x:f>T24/[1]Model_Parameters!$B$22</x:f>
        <x:v>#NAME?</x:v>
      </x:c>
      <x:c r="V24" s="5">
        <x:v>286.16711867445741</x:v>
      </x:c>
      <x:c r="W24" s="5">
        <x:v>286.16711867445741</x:v>
      </x:c>
      <x:c r="X24" s="5">
        <x:v>92.448127172284273</x:v>
      </x:c>
      <x:c r="Y24" s="3">
        <x:v>6</x:v>
      </x:c>
      <x:c r="Z24" s="3">
        <x:v>0</x:v>
      </x:c>
      <x:c r="AA24" s="3"/>
      <x:c r="AB24" s="2"/>
      <x:c r="AC24" s="3"/>
      <x:c r="AD24" s="3"/>
      <x:c r="AE24" s="2" t="s">
        <x:v>65</x:v>
      </x:c>
      <x:c r="AF24" s="3">
        <x:v>9</x:v>
      </x:c>
      <x:c r="AG24" s="3">
        <x:v>0</x:v>
      </x:c>
      <x:c r="AH24" s="2" t="s">
        <x:v>154</x:v>
      </x:c>
      <x:c r="AI24" s="3">
        <x:v>26</x:v>
      </x:c>
      <x:c r="AJ24" s="3">
        <x:v>0</x:v>
      </x:c>
      <x:c r="AK24" s="2" t="s">
        <x:v>66</x:v>
      </x:c>
      <x:c r="AL24" s="3">
        <x:v>0</x:v>
      </x:c>
      <x:c r="AM24" s="2" t="s">
        <x:v>155</x:v>
      </x:c>
      <x:c r="AN24" s="3">
        <x:v>27</x:v>
      </x:c>
      <x:c r="AO24" s="3">
        <x:v>12</x:v>
      </x:c>
      <x:c r="AP24" s="3">
        <x:v>12</x:v>
      </x:c>
      <x:c r="AQ24" s="5">
        <x:v>46.552478168179483</x:v>
      </x:c>
      <x:c r="AR24" s="5">
        <x:v>43.036894218768438</x:v>
      </x:c>
      <x:c r="AS24" s="5">
        <x:f t="shared" si="2"/>
        <x:v>100</x:v>
      </x:c>
      <x:c r="AT24" s="5">
        <x:v>232.76239084089741</x:v>
      </x:c>
      <x:c r="AU24" s="5">
        <x:v>286.16711867445741</x:v>
      </x:c>
      <x:c r="AV24" s="5">
        <x:v>86.011551212487376</x:v>
      </x:c>
      <x:c r="AW24" s="2" t="b">
        <x:v>0</x:v>
      </x:c>
      <x:c r="AX24" s="2"/>
      <x:c r="AY24" s="2" t="s">
        <x:v>68</x:v>
      </x:c>
      <x:c r="AZ24" s="6">
        <x:v>26</x:v>
      </x:c>
      <x:c r="BA24" s="6"/>
      <x:c r="BB24" s="7"/>
      <x:c r="BC24" s="7"/>
      <x:c r="BD24" s="8"/>
      <x:c r="BE24" s="2" t="e">
        <x:f>IF(AE24="Blocked","No",IF(AJ24&lt;=[1]Model_Parameters!$B$20,"Yes","No"))</x:f>
        <x:v>#NAME?</x:v>
      </x:c>
      <x:c r="BF24" s="2" t="str">
        <x:f t="shared" si="3"/>
        <x:v>Yes</x:v>
      </x:c>
      <x:c r="BG24" s="2" t="str">
        <x:f t="shared" si="4"/>
        <x:v>Yes</x:v>
      </x:c>
      <x:c r="BH24" s="24"/>
      <x:c r="BI24" s="24"/>
    </x:row>
    <x:row r="25">
      <x:c r="A25" s="2" t="s">
        <x:v>59</x:v>
      </x:c>
      <x:c r="B25" s="3">
        <x:v>51</x:v>
      </x:c>
      <x:c r="C25" s="2" t="s">
        <x:v>156</x:v>
      </x:c>
      <x:c r="D25" s="2" t="s">
        <x:v>157</x:v>
      </x:c>
      <x:c r="E25" s="2" t="s">
        <x:v>62</x:v>
      </x:c>
      <x:c r="F25" s="2" t="s">
        <x:v>63</x:v>
      </x:c>
      <x:c r="G25" s="3">
        <x:v>22</x:v>
      </x:c>
      <x:c r="H25" s="3">
        <x:v>0</x:v>
      </x:c>
      <x:c r="I25" s="3">
        <x:v>120</x:v>
      </x:c>
      <x:c r="J25" s="4">
        <x:v>9.3023255813953487E-2</x:v>
      </x:c>
      <x:c r="K25" s="3">
        <x:v>0</x:v>
      </x:c>
      <x:c r="L25" s="2" t="s">
        <x:v>158</x:v>
      </x:c>
      <x:c r="M25" s="3">
        <x:v>387</x:v>
      </x:c>
      <x:c r="N25" s="3">
        <x:v>26</x:v>
      </x:c>
      <x:c r="O25" s="5">
        <x:v>113.9977975514858</x:v>
      </x:c>
      <x:c r="P25" s="5">
        <x:v>7.1568304502859199</x:v>
      </x:c>
      <x:c r="Q25" s="5"/>
      <x:c r="R25" s="5">
        <x:v>76.314241734305625</x:v>
      </x:c>
      <x:c r="S25" s="5">
        <x:f t="shared" si="0"/>
        <x:v>78.837925707405176</x:v>
      </x:c>
      <x:c r="T25" s="5">
        <x:f t="shared" si="1"/>
        <x:v>78.837925707405176</x:v>
      </x:c>
      <x:c r="U25" s="5" t="e">
        <x:f>T25/[1]Model_Parameters!$B$22</x:f>
        <x:v>#NAME?</x:v>
      </x:c>
      <x:c r="V25" s="5">
        <x:v>356.70372309001459</x:v>
      </x:c>
      <x:c r="W25" s="5">
        <x:v>356.70372309001459</x:v>
      </x:c>
      <x:c r="X25" s="5">
        <x:v>91.669273563200619</x:v>
      </x:c>
      <x:c r="Y25" s="3">
        <x:v>6</x:v>
      </x:c>
      <x:c r="Z25" s="3">
        <x:v>0</x:v>
      </x:c>
      <x:c r="AA25" s="3"/>
      <x:c r="AB25" s="2"/>
      <x:c r="AC25" s="3"/>
      <x:c r="AD25" s="3"/>
      <x:c r="AE25" s="2" t="s">
        <x:v>65</x:v>
      </x:c>
      <x:c r="AF25" s="3">
        <x:v>1</x:v>
      </x:c>
      <x:c r="AG25" s="3">
        <x:v>0</x:v>
      </x:c>
      <x:c r="AH25" s="2" t="s">
        <x:v>158</x:v>
      </x:c>
      <x:c r="AI25" s="3">
        <x:v>26</x:v>
      </x:c>
      <x:c r="AJ25" s="3">
        <x:v>0</x:v>
      </x:c>
      <x:c r="AK25" s="2" t="s">
        <x:v>66</x:v>
      </x:c>
      <x:c r="AL25" s="3">
        <x:v>0</x:v>
      </x:c>
      <x:c r="AM25" s="2" t="s">
        <x:v>159</x:v>
      </x:c>
      <x:c r="AN25" s="3">
        <x:v>27</x:v>
      </x:c>
      <x:c r="AO25" s="3">
        <x:v>15</x:v>
      </x:c>
      <x:c r="AP25" s="3">
        <x:v>15</x:v>
      </x:c>
      <x:c r="AQ25" s="5">
        <x:v>86.002564046775177</x:v>
      </x:c>
      <x:c r="AR25" s="5">
        <x:v>78.837925707405176</x:v>
      </x:c>
      <x:c r="AS25" s="5">
        <x:f t="shared" si="2"/>
        <x:v>100</x:v>
      </x:c>
      <x:c r="AT25" s="5">
        <x:v>344.01025618710071</x:v>
      </x:c>
      <x:c r="AU25" s="5">
        <x:v>356.70372309001459</x:v>
      </x:c>
      <x:c r="AV25" s="5">
        <x:v>76.314241734305625</x:v>
      </x:c>
      <x:c r="AW25" s="2" t="b">
        <x:v>0</x:v>
      </x:c>
      <x:c r="AX25" s="2"/>
      <x:c r="AY25" s="2" t="s">
        <x:v>68</x:v>
      </x:c>
      <x:c r="AZ25" s="6">
        <x:v>26</x:v>
      </x:c>
      <x:c r="BA25" s="6"/>
      <x:c r="BB25" s="7"/>
      <x:c r="BC25" s="7"/>
      <x:c r="BD25" s="8"/>
      <x:c r="BE25" s="2" t="e">
        <x:f>IF(AE25="Blocked","No",IF(AJ25&lt;=[1]Model_Parameters!$B$20,"Yes","No"))</x:f>
        <x:v>#NAME?</x:v>
      </x:c>
      <x:c r="BF25" s="2" t="str">
        <x:f t="shared" si="3"/>
        <x:v>Yes</x:v>
      </x:c>
      <x:c r="BG25" s="2" t="str">
        <x:f t="shared" si="4"/>
        <x:v>Yes</x:v>
      </x:c>
      <x:c r="BH25" s="24"/>
      <x:c r="BI25" s="24"/>
    </x:row>
    <x:row r="26">
      <x:c r="A26" s="2" t="s">
        <x:v>59</x:v>
      </x:c>
      <x:c r="B26" s="3">
        <x:v>53</x:v>
      </x:c>
      <x:c r="C26" s="2" t="s">
        <x:v>160</x:v>
      </x:c>
      <x:c r="D26" s="2" t="s">
        <x:v>161</x:v>
      </x:c>
      <x:c r="E26" s="2" t="s">
        <x:v>62</x:v>
      </x:c>
      <x:c r="F26" s="2" t="s">
        <x:v>63</x:v>
      </x:c>
      <x:c r="G26" s="3">
        <x:v>23</x:v>
      </x:c>
      <x:c r="H26" s="3">
        <x:v>0</x:v>
      </x:c>
      <x:c r="I26" s="3">
        <x:v>120</x:v>
      </x:c>
      <x:c r="J26" s="4">
        <x:v>9.3023255813953487E-2</x:v>
      </x:c>
      <x:c r="K26" s="3">
        <x:v>0</x:v>
      </x:c>
      <x:c r="L26" s="2" t="s">
        <x:v>162</x:v>
      </x:c>
      <x:c r="M26" s="3">
        <x:v>390</x:v>
      </x:c>
      <x:c r="N26" s="3">
        <x:v>27</x:v>
      </x:c>
      <x:c r="O26" s="5">
        <x:v>72.810172893240832</x:v>
      </x:c>
      <x:c r="P26" s="5">
        <x:v>25.30132121029899</x:v>
      </x:c>
      <x:c r="Q26" s="5"/>
      <x:c r="R26" s="5">
        <x:v>92.575631812785971</x:v>
      </x:c>
      <x:c r="S26" s="5">
        <x:f t="shared" si="0"/>
        <x:v>48.982541862406613</x:v>
      </x:c>
      <x:c r="T26" s="5">
        <x:f t="shared" si="1"/>
        <x:v>48.982541862406613</x:v>
      </x:c>
      <x:c r="U26" s="5" t="e">
        <x:f>T26/[1]Model_Parameters!$B$22</x:f>
        <x:v>#NAME?</x:v>
      </x:c>
      <x:c r="V26" s="5">
        <x:v>261.11269265044751</x:v>
      </x:c>
      <x:c r="W26" s="5">
        <x:v>261.11269265044751</x:v>
      </x:c>
      <x:c r="X26" s="5">
        <x:v>90.252484316600942</x:v>
      </x:c>
      <x:c r="Y26" s="3">
        <x:v>7</x:v>
      </x:c>
      <x:c r="Z26" s="3">
        <x:v>0</x:v>
      </x:c>
      <x:c r="AA26" s="3"/>
      <x:c r="AB26" s="2"/>
      <x:c r="AC26" s="3"/>
      <x:c r="AD26" s="3"/>
      <x:c r="AE26" s="2" t="s">
        <x:v>65</x:v>
      </x:c>
      <x:c r="AF26" s="3">
        <x:v>3</x:v>
      </x:c>
      <x:c r="AG26" s="3">
        <x:v>0</x:v>
      </x:c>
      <x:c r="AH26" s="2" t="s">
        <x:v>162</x:v>
      </x:c>
      <x:c r="AI26" s="3">
        <x:v>27</x:v>
      </x:c>
      <x:c r="AJ26" s="3">
        <x:v>0</x:v>
      </x:c>
      <x:c r="AK26" s="2" t="s">
        <x:v>66</x:v>
      </x:c>
      <x:c r="AL26" s="3">
        <x:v>0</x:v>
      </x:c>
      <x:c r="AM26" s="2" t="s">
        <x:v>163</x:v>
      </x:c>
      <x:c r="AN26" s="3">
        <x:v>28</x:v>
      </x:c>
      <x:c r="AO26" s="3">
        <x:v>18</x:v>
      </x:c>
      <x:c r="AP26" s="3">
        <x:v>18</x:v>
      </x:c>
      <x:c r="AQ26" s="5">
        <x:v>54.272790642059753</x:v>
      </x:c>
      <x:c r="AR26" s="5">
        <x:v>48.98254186240662</x:v>
      </x:c>
      <x:c r="AS26" s="5">
        <x:f t="shared" si="2"/>
        <x:v>100.00000000000003</x:v>
      </x:c>
      <x:c r="AT26" s="5">
        <x:v>180.9093021401992</x:v>
      </x:c>
      <x:c r="AU26" s="5">
        <x:v>261.11269265044751</x:v>
      </x:c>
      <x:c r="AV26" s="5">
        <x:v>92.575631812785971</x:v>
      </x:c>
      <x:c r="AW26" s="2" t="b">
        <x:v>0</x:v>
      </x:c>
      <x:c r="AX26" s="2"/>
      <x:c r="AY26" s="2" t="s">
        <x:v>68</x:v>
      </x:c>
      <x:c r="AZ26" s="6">
        <x:v>27</x:v>
      </x:c>
      <x:c r="BA26" s="6"/>
      <x:c r="BB26" s="7"/>
      <x:c r="BC26" s="7"/>
      <x:c r="BD26" s="8"/>
      <x:c r="BE26" s="2" t="e">
        <x:f>IF(AE26="Blocked","No",IF(AJ26&lt;=[1]Model_Parameters!$B$20,"Yes","No"))</x:f>
        <x:v>#NAME?</x:v>
      </x:c>
      <x:c r="BF26" s="2" t="str">
        <x:f t="shared" si="3"/>
        <x:v>Yes</x:v>
      </x:c>
      <x:c r="BG26" s="2" t="str">
        <x:f t="shared" si="4"/>
        <x:v>Yes</x:v>
      </x:c>
      <x:c r="BH26" s="24"/>
      <x:c r="BI26" s="24"/>
    </x:row>
    <x:row r="27">
      <x:c r="A27" s="2" t="s">
        <x:v>59</x:v>
      </x:c>
      <x:c r="B27" s="3">
        <x:v>56</x:v>
      </x:c>
      <x:c r="C27" s="2" t="s">
        <x:v>164</x:v>
      </x:c>
      <x:c r="D27" s="2" t="s">
        <x:v>165</x:v>
      </x:c>
      <x:c r="E27" s="2" t="s">
        <x:v>62</x:v>
      </x:c>
      <x:c r="F27" s="2" t="s">
        <x:v>63</x:v>
      </x:c>
      <x:c r="G27" s="3">
        <x:v>24</x:v>
      </x:c>
      <x:c r="H27" s="3">
        <x:v>0</x:v>
      </x:c>
      <x:c r="I27" s="3">
        <x:v>120</x:v>
      </x:c>
      <x:c r="J27" s="4">
        <x:v>9.3023255813953487E-2</x:v>
      </x:c>
      <x:c r="K27" s="3">
        <x:v>0</x:v>
      </x:c>
      <x:c r="L27" s="2" t="s">
        <x:v>166</x:v>
      </x:c>
      <x:c r="M27" s="3">
        <x:v>400</x:v>
      </x:c>
      <x:c r="N27" s="3">
        <x:v>27</x:v>
      </x:c>
      <x:c r="O27" s="5">
        <x:v>90.802564109259009</x:v>
      </x:c>
      <x:c r="P27" s="5">
        <x:v>34.231040330144133</x:v>
      </x:c>
      <x:c r="Q27" s="5"/>
      <x:c r="R27" s="5">
        <x:v>96.840691641151579</x:v>
      </x:c>
      <x:c r="S27" s="5">
        <x:f t="shared" si="0"/>
        <x:v>56.851168770261069</x:v>
      </x:c>
      <x:c r="T27" s="5">
        <x:f t="shared" si="1"/>
        <x:v>56.851168770261069</x:v>
      </x:c>
      <x:c r="U27" s="5" t="e">
        <x:f>T27/[1]Model_Parameters!$B$22</x:f>
        <x:v>#NAME?</x:v>
      </x:c>
      <x:c r="V27" s="5">
        <x:v>175.82949166871879</x:v>
      </x:c>
      <x:c r="W27" s="5">
        <x:v>175.82949166871879</x:v>
      </x:c>
      <x:c r="X27" s="5">
        <x:v>93.789875604186619</x:v>
      </x:c>
      <x:c r="Y27" s="3">
        <x:v>6</x:v>
      </x:c>
      <x:c r="Z27" s="3">
        <x:v>0</x:v>
      </x:c>
      <x:c r="AA27" s="3"/>
      <x:c r="AB27" s="2"/>
      <x:c r="AC27" s="3"/>
      <x:c r="AD27" s="3"/>
      <x:c r="AE27" s="2" t="s">
        <x:v>65</x:v>
      </x:c>
      <x:c r="AF27" s="3">
        <x:v>7</x:v>
      </x:c>
      <x:c r="AG27" s="3">
        <x:v>0</x:v>
      </x:c>
      <x:c r="AH27" s="2" t="s">
        <x:v>166</x:v>
      </x:c>
      <x:c r="AI27" s="3">
        <x:v>27</x:v>
      </x:c>
      <x:c r="AJ27" s="3">
        <x:v>0</x:v>
      </x:c>
      <x:c r="AK27" s="2" t="s">
        <x:v>66</x:v>
      </x:c>
      <x:c r="AL27" s="3">
        <x:v>0</x:v>
      </x:c>
      <x:c r="AM27" s="2" t="s">
        <x:v>167</x:v>
      </x:c>
      <x:c r="AN27" s="3">
        <x:v>29</x:v>
      </x:c>
      <x:c r="AO27" s="3">
        <x:v>33</x:v>
      </x:c>
      <x:c r="AP27" s="3">
        <x:v>33</x:v>
      </x:c>
      <x:c r="AQ27" s="5">
        <x:v>60.615464520056683</x:v>
      </x:c>
      <x:c r="AR27" s="5">
        <x:v>56.851168770260998</x:v>
      </x:c>
      <x:c r="AS27" s="5">
        <x:f t="shared" si="2"/>
        <x:v>99.999999999999872</x:v>
      </x:c>
      <x:c r="AT27" s="5">
        <x:v>110.2099354910121</x:v>
      </x:c>
      <x:c r="AU27" s="5">
        <x:v>175.8294916687189</x:v>
      </x:c>
      <x:c r="AV27" s="5">
        <x:v>96.840691641151579</x:v>
      </x:c>
      <x:c r="AW27" s="2" t="b">
        <x:v>0</x:v>
      </x:c>
      <x:c r="AX27" s="2"/>
      <x:c r="AY27" s="2" t="s">
        <x:v>68</x:v>
      </x:c>
      <x:c r="AZ27" s="6">
        <x:v>27</x:v>
      </x:c>
      <x:c r="BA27" s="6"/>
      <x:c r="BB27" s="7"/>
      <x:c r="BC27" s="7"/>
      <x:c r="BD27" s="8"/>
      <x:c r="BE27" s="2" t="e">
        <x:f>IF(AE27="Blocked","No",IF(AJ27&lt;=[1]Model_Parameters!$B$20,"Yes","No"))</x:f>
        <x:v>#NAME?</x:v>
      </x:c>
      <x:c r="BF27" s="2" t="str">
        <x:f t="shared" si="3"/>
        <x:v>Yes</x:v>
      </x:c>
      <x:c r="BG27" s="2" t="str">
        <x:f t="shared" si="4"/>
        <x:v>Yes</x:v>
      </x:c>
      <x:c r="BH27" s="24"/>
      <x:c r="BI27" s="24"/>
    </x:row>
    <x:row r="28">
      <x:c r="A28" s="2" t="s">
        <x:v>59</x:v>
      </x:c>
      <x:c r="B28" s="3">
        <x:v>57</x:v>
      </x:c>
      <x:c r="C28" s="2" t="s">
        <x:v>168</x:v>
      </x:c>
      <x:c r="D28" s="2" t="s">
        <x:v>169</x:v>
      </x:c>
      <x:c r="E28" s="2" t="s">
        <x:v>62</x:v>
      </x:c>
      <x:c r="F28" s="2" t="s">
        <x:v>63</x:v>
      </x:c>
      <x:c r="G28" s="3">
        <x:v>25</x:v>
      </x:c>
      <x:c r="H28" s="3">
        <x:v>0</x:v>
      </x:c>
      <x:c r="I28" s="3">
        <x:v>120</x:v>
      </x:c>
      <x:c r="J28" s="4">
        <x:v>9.3023255813953487E-2</x:v>
      </x:c>
      <x:c r="K28" s="3">
        <x:v>0</x:v>
      </x:c>
      <x:c r="L28" s="2" t="s">
        <x:v>159</x:v>
      </x:c>
      <x:c r="M28" s="3">
        <x:v>402</x:v>
      </x:c>
      <x:c r="N28" s="3">
        <x:v>27</x:v>
      </x:c>
      <x:c r="O28" s="5">
        <x:v>75.025364923351049</x:v>
      </x:c>
      <x:c r="P28" s="5">
        <x:v>25.92231163210538</x:v>
      </x:c>
      <x:c r="Q28" s="5"/>
      <x:c r="R28" s="5">
        <x:v>89.478300278182203</x:v>
      </x:c>
      <x:c r="S28" s="5">
        <x:f t="shared" si="0"/>
        <x:v>47.683112412362696</x:v>
      </x:c>
      <x:c r="T28" s="5">
        <x:f t="shared" si="1"/>
        <x:v>47.683112412362696</x:v>
      </x:c>
      <x:c r="U28" s="5" t="e">
        <x:f>T28/[1]Model_Parameters!$B$22</x:f>
        <x:v>#NAME?</x:v>
      </x:c>
      <x:c r="V28" s="5">
        <x:v>384.33353113030392</x:v>
      </x:c>
      <x:c r="W28" s="5">
        <x:v>384.33353113030392</x:v>
      </x:c>
      <x:c r="X28" s="5">
        <x:v>90.811959206014393</x:v>
      </x:c>
      <x:c r="Y28" s="3">
        <x:v>6</x:v>
      </x:c>
      <x:c r="Z28" s="3">
        <x:v>0</x:v>
      </x:c>
      <x:c r="AA28" s="3"/>
      <x:c r="AB28" s="2"/>
      <x:c r="AC28" s="3"/>
      <x:c r="AD28" s="3"/>
      <x:c r="AE28" s="2" t="s">
        <x:v>65</x:v>
      </x:c>
      <x:c r="AF28" s="3">
        <x:v>8</x:v>
      </x:c>
      <x:c r="AG28" s="3">
        <x:v>0</x:v>
      </x:c>
      <x:c r="AH28" s="2" t="s">
        <x:v>159</x:v>
      </x:c>
      <x:c r="AI28" s="3">
        <x:v>27</x:v>
      </x:c>
      <x:c r="AJ28" s="3">
        <x:v>0</x:v>
      </x:c>
      <x:c r="AK28" s="2" t="s">
        <x:v>66</x:v>
      </x:c>
      <x:c r="AL28" s="3">
        <x:v>0</x:v>
      </x:c>
      <x:c r="AM28" s="2" t="s">
        <x:v>170</x:v>
      </x:c>
      <x:c r="AN28" s="3">
        <x:v>28</x:v>
      </x:c>
      <x:c r="AO28" s="3">
        <x:v>11</x:v>
      </x:c>
      <x:c r="AP28" s="3">
        <x:v>11</x:v>
      </x:c>
      <x:c r="AQ28" s="5">
        <x:v>52.507525252472149</x:v>
      </x:c>
      <x:c r="AR28" s="5">
        <x:v>47.683112412362718</x:v>
      </x:c>
      <x:c r="AS28" s="5">
        <x:f t="shared" si="2"/>
        <x:v>100.00000000000004</x:v>
      </x:c>
      <x:c r="AT28" s="5">
        <x:v>286.40468319530271</x:v>
      </x:c>
      <x:c r="AU28" s="5">
        <x:v>384.33353113030392</x:v>
      </x:c>
      <x:c r="AV28" s="5">
        <x:v>89.478300278182203</x:v>
      </x:c>
      <x:c r="AW28" s="2" t="b">
        <x:v>0</x:v>
      </x:c>
      <x:c r="AX28" s="2"/>
      <x:c r="AY28" s="2" t="s">
        <x:v>68</x:v>
      </x:c>
      <x:c r="AZ28" s="6">
        <x:v>27</x:v>
      </x:c>
      <x:c r="BA28" s="6"/>
      <x:c r="BB28" s="7"/>
      <x:c r="BC28" s="7"/>
      <x:c r="BD28" s="8"/>
      <x:c r="BE28" s="2" t="e">
        <x:f>IF(AE28="Blocked","No",IF(AJ28&lt;=[1]Model_Parameters!$B$20,"Yes","No"))</x:f>
        <x:v>#NAME?</x:v>
      </x:c>
      <x:c r="BF28" s="2" t="str">
        <x:f t="shared" si="3"/>
        <x:v>Yes</x:v>
      </x:c>
      <x:c r="BG28" s="2" t="str">
        <x:f t="shared" si="4"/>
        <x:v>Yes</x:v>
      </x:c>
      <x:c r="BH28" s="24"/>
      <x:c r="BI28" s="24"/>
    </x:row>
    <x:row r="29">
      <x:c r="A29" s="2" t="s">
        <x:v>59</x:v>
      </x:c>
      <x:c r="B29" s="3">
        <x:v>59</x:v>
      </x:c>
      <x:c r="C29" s="2" t="s">
        <x:v>171</x:v>
      </x:c>
      <x:c r="D29" s="2" t="s">
        <x:v>172</x:v>
      </x:c>
      <x:c r="E29" s="2" t="s">
        <x:v>62</x:v>
      </x:c>
      <x:c r="F29" s="2" t="s">
        <x:v>63</x:v>
      </x:c>
      <x:c r="G29" s="3">
        <x:v>26</x:v>
      </x:c>
      <x:c r="H29" s="3">
        <x:v>0</x:v>
      </x:c>
      <x:c r="I29" s="3">
        <x:v>120</x:v>
      </x:c>
      <x:c r="J29" s="4">
        <x:v>9.3023255813953487E-2</x:v>
      </x:c>
      <x:c r="K29" s="3">
        <x:v>0</x:v>
      </x:c>
      <x:c r="L29" s="2" t="s">
        <x:v>173</x:v>
      </x:c>
      <x:c r="M29" s="3">
        <x:v>404</x:v>
      </x:c>
      <x:c r="N29" s="3">
        <x:v>27</x:v>
      </x:c>
      <x:c r="O29" s="5">
        <x:v>116.9972779795912</x:v>
      </x:c>
      <x:c r="P29" s="5">
        <x:v>20.316597304593412</x:v>
      </x:c>
      <x:c r="Q29" s="5"/>
      <x:c r="R29" s="5">
        <x:v>86.58419131224413</x:v>
      </x:c>
      <x:c r="S29" s="5">
        <x:f t="shared" si="0"/>
        <x:v>77.531281171518032</x:v>
      </x:c>
      <x:c r="T29" s="5">
        <x:f t="shared" si="1"/>
        <x:v>77.531281171518032</x:v>
      </x:c>
      <x:c r="U29" s="5" t="e">
        <x:f>T29/[1]Model_Parameters!$B$22</x:f>
        <x:v>#NAME?</x:v>
      </x:c>
      <x:c r="V29" s="5">
        <x:v>348.09227105873401</x:v>
      </x:c>
      <x:c r="W29" s="5">
        <x:v>348.09227105873401</x:v>
      </x:c>
      <x:c r="X29" s="5">
        <x:v>91.802456525801404</x:v>
      </x:c>
      <x:c r="Y29" s="3">
        <x:v>7</x:v>
      </x:c>
      <x:c r="Z29" s="3">
        <x:v>0</x:v>
      </x:c>
      <x:c r="AA29" s="3"/>
      <x:c r="AB29" s="2"/>
      <x:c r="AC29" s="3"/>
      <x:c r="AD29" s="3"/>
      <x:c r="AE29" s="2" t="s">
        <x:v>65</x:v>
      </x:c>
      <x:c r="AF29" s="3">
        <x:v>1</x:v>
      </x:c>
      <x:c r="AG29" s="3">
        <x:v>0</x:v>
      </x:c>
      <x:c r="AH29" s="2" t="s">
        <x:v>173</x:v>
      </x:c>
      <x:c r="AI29" s="3">
        <x:v>27</x:v>
      </x:c>
      <x:c r="AJ29" s="3">
        <x:v>0</x:v>
      </x:c>
      <x:c r="AK29" s="2" t="s">
        <x:v>66</x:v>
      </x:c>
      <x:c r="AL29" s="3">
        <x:v>0</x:v>
      </x:c>
      <x:c r="AM29" s="2" t="s">
        <x:v>174</x:v>
      </x:c>
      <x:c r="AN29" s="3">
        <x:v>29</x:v>
      </x:c>
      <x:c r="AO29" s="3">
        <x:v>17</x:v>
      </x:c>
      <x:c r="AP29" s="3">
        <x:v>17</x:v>
      </x:c>
      <x:c r="AQ29" s="5">
        <x:v>84.454473339422691</x:v>
      </x:c>
      <x:c r="AR29" s="5">
        <x:v>77.531281171518032</x:v>
      </x:c>
      <x:c r="AS29" s="5">
        <x:f t="shared" si="2"/>
        <x:v>100</x:v>
      </x:c>
      <x:c r="AT29" s="5">
        <x:v>298.07461178619769</x:v>
      </x:c>
      <x:c r="AU29" s="5">
        <x:v>348.09227105873413</x:v>
      </x:c>
      <x:c r="AV29" s="5">
        <x:v>86.58419131224413</x:v>
      </x:c>
      <x:c r="AW29" s="2" t="b">
        <x:v>0</x:v>
      </x:c>
      <x:c r="AX29" s="2"/>
      <x:c r="AY29" s="2" t="s">
        <x:v>68</x:v>
      </x:c>
      <x:c r="AZ29" s="6">
        <x:v>27</x:v>
      </x:c>
      <x:c r="BA29" s="6"/>
      <x:c r="BB29" s="7"/>
      <x:c r="BC29" s="7"/>
      <x:c r="BD29" s="8"/>
      <x:c r="BE29" s="2" t="e">
        <x:f>IF(AE29="Blocked","No",IF(AJ29&lt;=[1]Model_Parameters!$B$20,"Yes","No"))</x:f>
        <x:v>#NAME?</x:v>
      </x:c>
      <x:c r="BF29" s="2" t="str">
        <x:f t="shared" si="3"/>
        <x:v>Yes</x:v>
      </x:c>
      <x:c r="BG29" s="2" t="str">
        <x:f t="shared" si="4"/>
        <x:v>Yes</x:v>
      </x:c>
      <x:c r="BH29" s="24"/>
      <x:c r="BI29" s="24"/>
    </x:row>
    <x:row r="30">
      <x:c r="A30" s="2" t="s">
        <x:v>59</x:v>
      </x:c>
      <x:c r="B30" s="3">
        <x:v>62</x:v>
      </x:c>
      <x:c r="C30" s="2" t="s">
        <x:v>175</x:v>
      </x:c>
      <x:c r="D30" s="2" t="s">
        <x:v>176</x:v>
      </x:c>
      <x:c r="E30" s="2" t="s">
        <x:v>62</x:v>
      </x:c>
      <x:c r="F30" s="2" t="s">
        <x:v>63</x:v>
      </x:c>
      <x:c r="G30" s="3">
        <x:v>27</x:v>
      </x:c>
      <x:c r="H30" s="3">
        <x:v>0</x:v>
      </x:c>
      <x:c r="I30" s="3">
        <x:v>120</x:v>
      </x:c>
      <x:c r="J30" s="4">
        <x:v>9.3023255813953487E-2</x:v>
      </x:c>
      <x:c r="K30" s="3">
        <x:v>0</x:v>
      </x:c>
      <x:c r="L30" s="2" t="s">
        <x:v>177</x:v>
      </x:c>
      <x:c r="M30" s="3">
        <x:v>411</x:v>
      </x:c>
      <x:c r="N30" s="3">
        <x:v>28</x:v>
      </x:c>
      <x:c r="O30" s="5">
        <x:v>128.75001416189139</x:v>
      </x:c>
      <x:c r="P30" s="5">
        <x:v>22.27564988661096</x:v>
      </x:c>
      <x:c r="Q30" s="5"/>
      <x:c r="R30" s="5">
        <x:v>86.546191136913308</x:v>
      </x:c>
      <x:c r="S30" s="5">
        <x:f t="shared" si="0"/>
        <x:v>82.748330961688509</x:v>
      </x:c>
      <x:c r="T30" s="5">
        <x:f t="shared" si="1"/>
        <x:v>82.748330961688509</x:v>
      </x:c>
      <x:c r="U30" s="5" t="e">
        <x:f>T30/[1]Model_Parameters!$B$22</x:f>
        <x:v>#NAME?</x:v>
      </x:c>
      <x:c r="V30" s="5">
        <x:v>369.68699373718971</x:v>
      </x:c>
      <x:c r="W30" s="5">
        <x:v>369.68699373718971</x:v>
      </x:c>
      <x:c r="X30" s="5">
        <x:v>94.914629312212938</x:v>
      </x:c>
      <x:c r="Y30" s="3">
        <x:v>6</x:v>
      </x:c>
      <x:c r="Z30" s="3">
        <x:v>0</x:v>
      </x:c>
      <x:c r="AA30" s="3"/>
      <x:c r="AB30" s="2"/>
      <x:c r="AC30" s="3"/>
      <x:c r="AD30" s="3"/>
      <x:c r="AE30" s="2" t="s">
        <x:v>65</x:v>
      </x:c>
      <x:c r="AF30" s="3">
        <x:v>4</x:v>
      </x:c>
      <x:c r="AG30" s="3">
        <x:v>0</x:v>
      </x:c>
      <x:c r="AH30" s="2" t="s">
        <x:v>177</x:v>
      </x:c>
      <x:c r="AI30" s="3">
        <x:v>28</x:v>
      </x:c>
      <x:c r="AJ30" s="3">
        <x:v>0</x:v>
      </x:c>
      <x:c r="AK30" s="2" t="s">
        <x:v>66</x:v>
      </x:c>
      <x:c r="AL30" s="3">
        <x:v>0</x:v>
      </x:c>
      <x:c r="AM30" s="2" t="s">
        <x:v>149</x:v>
      </x:c>
      <x:c r="AN30" s="3">
        <x:v>29</x:v>
      </x:c>
      <x:c r="AO30" s="3">
        <x:v>17</x:v>
      </x:c>
      <x:c r="AP30" s="3">
        <x:v>17</x:v>
      </x:c>
      <x:c r="AQ30" s="5">
        <x:v>87.18185127130981</x:v>
      </x:c>
      <x:c r="AR30" s="5">
        <x:v>82.748330961688524</x:v>
      </x:c>
      <x:c r="AS30" s="5">
        <x:f t="shared" si="2"/>
        <x:v>100.00000000000003</x:v>
      </x:c>
      <x:c r="AT30" s="5">
        <x:v>307.70065154579942</x:v>
      </x:c>
      <x:c r="AU30" s="5">
        <x:v>369.68699373718971</x:v>
      </x:c>
      <x:c r="AV30" s="5">
        <x:v>86.546191136913308</x:v>
      </x:c>
      <x:c r="AW30" s="2" t="b">
        <x:v>0</x:v>
      </x:c>
      <x:c r="AX30" s="2"/>
      <x:c r="AY30" s="2" t="s">
        <x:v>68</x:v>
      </x:c>
      <x:c r="AZ30" s="6">
        <x:v>28</x:v>
      </x:c>
      <x:c r="BA30" s="6"/>
      <x:c r="BB30" s="7"/>
      <x:c r="BC30" s="7"/>
      <x:c r="BD30" s="8"/>
      <x:c r="BE30" s="2" t="e">
        <x:f>IF(AE30="Blocked","No",IF(AJ30&lt;=[1]Model_Parameters!$B$20,"Yes","No"))</x:f>
        <x:v>#NAME?</x:v>
      </x:c>
      <x:c r="BF30" s="2" t="str">
        <x:f t="shared" si="3"/>
        <x:v>Yes</x:v>
      </x:c>
      <x:c r="BG30" s="2" t="str">
        <x:f t="shared" si="4"/>
        <x:v>Yes</x:v>
      </x:c>
      <x:c r="BH30" s="24"/>
      <x:c r="BI30" s="24"/>
    </x:row>
    <x:row r="31">
      <x:c r="A31" s="2" t="s">
        <x:v>59</x:v>
      </x:c>
      <x:c r="B31" s="3">
        <x:v>63</x:v>
      </x:c>
      <x:c r="C31" s="2" t="s">
        <x:v>178</x:v>
      </x:c>
      <x:c r="D31" s="2" t="s">
        <x:v>179</x:v>
      </x:c>
      <x:c r="E31" s="2" t="s">
        <x:v>79</x:v>
      </x:c>
      <x:c r="F31" s="2" t="s">
        <x:v>80</x:v>
      </x:c>
      <x:c r="G31" s="3">
        <x:v>3</x:v>
      </x:c>
      <x:c r="H31" s="3">
        <x:v>1</x:v>
      </x:c>
      <x:c r="I31" s="3">
        <x:v>30</x:v>
      </x:c>
      <x:c r="J31" s="4">
        <x:v>6.7155067155067152E-2</x:v>
      </x:c>
      <x:c r="K31" s="3">
        <x:v>0</x:v>
      </x:c>
      <x:c r="L31" s="2" t="s">
        <x:v>180</x:v>
      </x:c>
      <x:c r="M31" s="3">
        <x:v>412</x:v>
      </x:c>
      <x:c r="N31" s="3">
        <x:v>28</x:v>
      </x:c>
      <x:c r="O31" s="5">
        <x:v>54.166579428673153</x:v>
      </x:c>
      <x:c r="P31" s="5">
        <x:v>21.104010933059961</x:v>
      </x:c>
      <x:c r="Q31" s="5"/>
      <x:c r="R31" s="5">
        <x:v>75.120626323819039</x:v>
      </x:c>
      <x:c r="S31" s="5">
        <x:f t="shared" si="0"/>
        <x:v>29.2589528803164</x:v>
      </x:c>
      <x:c r="T31" s="5">
        <x:f t="shared" si="1"/>
        <x:v>29.2589528803164</x:v>
      </x:c>
      <x:c r="U31" s="5" t="e">
        <x:f>T31/[1]Model_Parameters!$B$22</x:f>
        <x:v>#NAME?</x:v>
      </x:c>
      <x:c r="V31" s="5">
        <x:v>397.06893523195748</x:v>
      </x:c>
      <x:c r="W31" s="5">
        <x:v>397.06893523195748</x:v>
      </x:c>
      <x:c r="X31" s="5">
        <x:v>92.917745106525004</x:v>
      </x:c>
      <x:c r="Y31" s="3">
        <x:v>7</x:v>
      </x:c>
      <x:c r="Z31" s="3">
        <x:v>0</x:v>
      </x:c>
      <x:c r="AA31" s="3"/>
      <x:c r="AB31" s="2"/>
      <x:c r="AC31" s="3"/>
      <x:c r="AD31" s="3"/>
      <x:c r="AE31" s="2" t="s">
        <x:v>65</x:v>
      </x:c>
      <x:c r="AF31" s="3">
        <x:v>5</x:v>
      </x:c>
      <x:c r="AG31" s="3">
        <x:v>0</x:v>
      </x:c>
      <x:c r="AH31" s="2" t="s">
        <x:v>180</x:v>
      </x:c>
      <x:c r="AI31" s="3">
        <x:v>28</x:v>
      </x:c>
      <x:c r="AJ31" s="3">
        <x:v>0</x:v>
      </x:c>
      <x:c r="AK31" s="2" t="s">
        <x:v>66</x:v>
      </x:c>
      <x:c r="AL31" s="3">
        <x:v>0</x:v>
      </x:c>
      <x:c r="AM31" s="2" t="s">
        <x:v>181</x:v>
      </x:c>
      <x:c r="AN31" s="3">
        <x:v>28</x:v>
      </x:c>
      <x:c r="AO31" s="3">
        <x:v>5</x:v>
      </x:c>
      <x:c r="AP31" s="3">
        <x:v>5</x:v>
      </x:c>
      <x:c r="AQ31" s="5">
        <x:v>31.489090535691162</x:v>
      </x:c>
      <x:c r="AR31" s="5">
        <x:v>29.2589528803164</x:v>
      </x:c>
      <x:c r="AS31" s="5">
        <x:f t="shared" si="2"/>
        <x:v>100</x:v>
      </x:c>
      <x:c r="AT31" s="5">
        <x:v>377.86908642829388</x:v>
      </x:c>
      <x:c r="AU31" s="5">
        <x:v>397.06893523195748</x:v>
      </x:c>
      <x:c r="AV31" s="5">
        <x:v>75.120626323819039</x:v>
      </x:c>
      <x:c r="AW31" s="2" t="b">
        <x:v>0</x:v>
      </x:c>
      <x:c r="AX31" s="2"/>
      <x:c r="AY31" s="2" t="s">
        <x:v>83</x:v>
      </x:c>
      <x:c r="AZ31" s="6">
        <x:v>28</x:v>
      </x:c>
      <x:c r="BA31" s="6"/>
      <x:c r="BB31" s="7"/>
      <x:c r="BC31" s="7"/>
      <x:c r="BD31" s="8"/>
      <x:c r="BE31" s="2" t="e">
        <x:f>IF(AE31="Blocked","No",IF(AJ31&lt;=[1]Model_Parameters!$B$20,"Yes","No"))</x:f>
        <x:v>#NAME?</x:v>
      </x:c>
      <x:c r="BF31" s="2" t="str">
        <x:f t="shared" si="3"/>
        <x:v>Yes</x:v>
      </x:c>
      <x:c r="BG31" s="2" t="str">
        <x:f t="shared" si="4"/>
        <x:v>Yes</x:v>
      </x:c>
      <x:c r="BH31" s="24" t="str">
        <x:v>04:45</x:v>
      </x:c>
      <x:c r="BI31" s="24" t="str">
        <x:v>11:00</x:v>
      </x:c>
    </x:row>
    <x:row r="32">
      <x:c r="A32" s="2" t="s">
        <x:v>59</x:v>
      </x:c>
      <x:c r="B32" s="3">
        <x:v>64</x:v>
      </x:c>
      <x:c r="C32" s="2" t="s">
        <x:v>182</x:v>
      </x:c>
      <x:c r="D32" s="2" t="s">
        <x:v>183</x:v>
      </x:c>
      <x:c r="E32" s="2" t="s">
        <x:v>62</x:v>
      </x:c>
      <x:c r="F32" s="2" t="s">
        <x:v>63</x:v>
      </x:c>
      <x:c r="G32" s="3">
        <x:v>28</x:v>
      </x:c>
      <x:c r="H32" s="3">
        <x:v>0</x:v>
      </x:c>
      <x:c r="I32" s="3">
        <x:v>120</x:v>
      </x:c>
      <x:c r="J32" s="4">
        <x:v>9.3023255813953487E-2</x:v>
      </x:c>
      <x:c r="K32" s="3">
        <x:v>0</x:v>
      </x:c>
      <x:c r="L32" s="2" t="s">
        <x:v>181</x:v>
      </x:c>
      <x:c r="M32" s="3">
        <x:v>417</x:v>
      </x:c>
      <x:c r="N32" s="3">
        <x:v>28</x:v>
      </x:c>
      <x:c r="O32" s="5">
        <x:v>98.463692775413278</x:v>
      </x:c>
      <x:c r="P32" s="5">
        <x:v>24.723297369216521</x:v>
      </x:c>
      <x:c r="Q32" s="5"/>
      <x:c r="R32" s="5">
        <x:v>97.20097557486001</x:v>
      </x:c>
      <x:c r="S32" s="5">
        <x:f t="shared" si="0"/>
        <x:v>71.364198399157473</x:v>
      </x:c>
      <x:c r="T32" s="5">
        <x:f t="shared" si="1"/>
        <x:v>71.364198399157473</x:v>
      </x:c>
      <x:c r="U32" s="5" t="e">
        <x:f>T32/[1]Model_Parameters!$B$22</x:f>
        <x:v>#NAME?</x:v>
      </x:c>
      <x:c r="V32" s="5">
        <x:v>251.0573082117626</x:v>
      </x:c>
      <x:c r="W32" s="5">
        <x:v>251.0573082117626</x:v>
      </x:c>
      <x:c r="X32" s="5">
        <x:v>90.664812641166975</x:v>
      </x:c>
      <x:c r="Y32" s="3">
        <x:v>6</x:v>
      </x:c>
      <x:c r="Z32" s="3">
        <x:v>0</x:v>
      </x:c>
      <x:c r="AA32" s="3"/>
      <x:c r="AB32" s="2"/>
      <x:c r="AC32" s="3"/>
      <x:c r="AD32" s="3"/>
      <x:c r="AE32" s="2" t="s">
        <x:v>65</x:v>
      </x:c>
      <x:c r="AF32" s="3">
        <x:v>8</x:v>
      </x:c>
      <x:c r="AG32" s="3">
        <x:v>0</x:v>
      </x:c>
      <x:c r="AH32" s="2" t="s">
        <x:v>181</x:v>
      </x:c>
      <x:c r="AI32" s="3">
        <x:v>28</x:v>
      </x:c>
      <x:c r="AJ32" s="3">
        <x:v>0</x:v>
      </x:c>
      <x:c r="AK32" s="2" t="s">
        <x:v>66</x:v>
      </x:c>
      <x:c r="AL32" s="3">
        <x:v>0</x:v>
      </x:c>
      <x:c r="AM32" s="2" t="s">
        <x:v>184</x:v>
      </x:c>
      <x:c r="AN32" s="3">
        <x:v>30</x:v>
      </x:c>
      <x:c r="AO32" s="3">
        <x:v>31</x:v>
      </x:c>
      <x:c r="AP32" s="3">
        <x:v>31</x:v>
      </x:c>
      <x:c r="AQ32" s="5">
        <x:v>78.712122509536954</x:v>
      </x:c>
      <x:c r="AR32" s="5">
        <x:v>71.364198399157502</x:v>
      </x:c>
      <x:c r="AS32" s="5">
        <x:f t="shared" si="2"/>
        <x:v>100.00000000000004</x:v>
      </x:c>
      <x:c r="AT32" s="5">
        <x:v>152.34604356684571</x:v>
      </x:c>
      <x:c r="AU32" s="5">
        <x:v>251.0573082117626</x:v>
      </x:c>
      <x:c r="AV32" s="5">
        <x:v>97.20097557486001</x:v>
      </x:c>
      <x:c r="AW32" s="2" t="b">
        <x:v>0</x:v>
      </x:c>
      <x:c r="AX32" s="2"/>
      <x:c r="AY32" s="2" t="s">
        <x:v>68</x:v>
      </x:c>
      <x:c r="AZ32" s="6">
        <x:v>28</x:v>
      </x:c>
      <x:c r="BA32" s="6"/>
      <x:c r="BB32" s="7"/>
      <x:c r="BC32" s="7"/>
      <x:c r="BD32" s="8"/>
      <x:c r="BE32" s="2" t="e">
        <x:f>IF(AE32="Blocked","No",IF(AJ32&lt;=[1]Model_Parameters!$B$20,"Yes","No"))</x:f>
        <x:v>#NAME?</x:v>
      </x:c>
      <x:c r="BF32" s="2" t="str">
        <x:f t="shared" si="3"/>
        <x:v>Yes</x:v>
      </x:c>
      <x:c r="BG32" s="2" t="str">
        <x:f t="shared" si="4"/>
        <x:v>Yes</x:v>
      </x:c>
      <x:c r="BH32" s="24"/>
      <x:c r="BI32" s="24"/>
    </x:row>
    <x:row r="33">
      <x:c r="A33" s="2" t="s">
        <x:v>59</x:v>
      </x:c>
      <x:c r="B33" s="3">
        <x:v>65</x:v>
      </x:c>
      <x:c r="C33" s="2" t="s">
        <x:v>185</x:v>
      </x:c>
      <x:c r="D33" s="2" t="s">
        <x:v>186</x:v>
      </x:c>
      <x:c r="E33" s="2" t="s">
        <x:v>62</x:v>
      </x:c>
      <x:c r="F33" s="2" t="s">
        <x:v>63</x:v>
      </x:c>
      <x:c r="G33" s="3">
        <x:v>29</x:v>
      </x:c>
      <x:c r="H33" s="3">
        <x:v>0</x:v>
      </x:c>
      <x:c r="I33" s="3">
        <x:v>120</x:v>
      </x:c>
      <x:c r="J33" s="4">
        <x:v>9.3023255813953487E-2</x:v>
      </x:c>
      <x:c r="K33" s="3">
        <x:v>0</x:v>
      </x:c>
      <x:c r="L33" s="2" t="s">
        <x:v>181</x:v>
      </x:c>
      <x:c r="M33" s="3">
        <x:v>417</x:v>
      </x:c>
      <x:c r="N33" s="3">
        <x:v>28</x:v>
      </x:c>
      <x:c r="O33" s="5">
        <x:v>72.714361802082379</x:v>
      </x:c>
      <x:c r="P33" s="5">
        <x:v>8.2773481840657492</x:v>
      </x:c>
      <x:c r="Q33" s="5"/>
      <x:c r="R33" s="5">
        <x:v>94.750550482451615</x:v>
      </x:c>
      <x:c r="S33" s="5" t="n">
        <x:f t="shared" si="0">O33*(R33-P33)/100</x:f>
        <x:v>62.87843718109492</x:v>
      </x:c>
      <x:c r="T33" s="5" t="n">
        <x:f t="shared" si="1">O33*(R33-IF(Q33="",P33,Q33))/100</x:f>
        <x:v>62.87843718109492</x:v>
      </x:c>
      <x:c r="U33" s="5" t="e">
        <x:f>T33/[1]Model_Parameters!$B$22</x:f>
        <x:v>#NAME?</x:v>
      </x:c>
      <x:c r="V33" s="5">
        <x:v>344.14565972350482</x:v>
      </x:c>
      <x:c r="W33" s="5">
        <x:v>344.14565972350482</x:v>
      </x:c>
      <x:c r="X33" s="5">
        <x:v>92.164839446562752</x:v>
      </x:c>
      <x:c r="Y33" s="3">
        <x:v>7</x:v>
      </x:c>
      <x:c r="Z33" s="3">
        <x:v>0</x:v>
      </x:c>
      <x:c r="AA33" s="3"/>
      <x:c r="AB33" s="2"/>
      <x:c r="AC33" s="3"/>
      <x:c r="AD33" s="3"/>
      <x:c r="AE33" s="2" t="s">
        <x:v>65</x:v>
      </x:c>
      <x:c r="AF33" s="3">
        <x:v>9</x:v>
      </x:c>
      <x:c r="AG33" s="3">
        <x:v>0</x:v>
      </x:c>
      <x:c r="AH33" s="2" t="s">
        <x:v>181</x:v>
      </x:c>
      <x:c r="AI33" s="3">
        <x:v>28</x:v>
      </x:c>
      <x:c r="AJ33" s="3">
        <x:v>0</x:v>
      </x:c>
      <x:c r="AK33" s="2" t="s">
        <x:v>66</x:v>
      </x:c>
      <x:c r="AL33" s="3">
        <x:v>0</x:v>
      </x:c>
      <x:c r="AM33" s="2" t="s">
        <x:v>187</x:v>
      </x:c>
      <x:c r="AN33" s="3">
        <x:v>29</x:v>
      </x:c>
      <x:c r="AO33" s="3">
        <x:v>17</x:v>
      </x:c>
      <x:c r="AP33" s="3">
        <x:v>17</x:v>
      </x:c>
      <x:c r="AQ33" s="5">
        <x:v>68.223888370740184</x:v>
      </x:c>
      <x:c r="AR33" s="5">
        <x:v>62.87843718109491</x:v>
      </x:c>
      <x:c r="AS33" s="5" t="n">
        <x:f t="shared" si="2">IF(S33=0,100,IFERROR(AR33/S33*100,0))</x:f>
        <x:v>99.99999999999999</x:v>
      </x:c>
      <x:c r="AT33" s="5">
        <x:v>240.7901942496712</x:v>
      </x:c>
      <x:c r="AU33" s="5">
        <x:v>344.14565972350482</x:v>
      </x:c>
      <x:c r="AV33" s="5">
        <x:v>94.750550482451615</x:v>
      </x:c>
      <x:c r="AW33" s="2" t="b">
        <x:v>0</x:v>
      </x:c>
      <x:c r="AX33" s="2"/>
      <x:c r="AY33" s="2" t="s">
        <x:v>68</x:v>
      </x:c>
      <x:c r="AZ33" s="6">
        <x:v>28</x:v>
      </x:c>
      <x:c r="BA33" s="6"/>
      <x:c r="BB33" s="7"/>
      <x:c r="BC33" s="7"/>
      <x:c r="BD33" s="8"/>
      <x:c r="BE33" s="2" t="e">
        <x:f>IF(AE33="Blocked","No",IF(AJ33&lt;=[1]Model_Parameters!$B$20,"Yes","No"))</x:f>
        <x:v>#NAME?</x:v>
      </x:c>
      <x:c r="BF33" s="2" t="str">
        <x:f t="shared" si="3">IF(AK33="Completed","Yes","No")</x:f>
        <x:v>Yes</x:v>
      </x:c>
      <x:c r="BG33" s="2" t="e">
        <x:f t="shared" si="4">IF(AND(BE33="Yes",BF33="Yes"),"Yes","No")</x:f>
        <x:v>#NAME?</x:v>
      </x:c>
      <x:c r="BH33" s="24"/>
      <x:c r="BI33" s="24"/>
    </x:row>
    <x:row r="34">
      <x:c r="A34" s="2" t="s">
        <x:v>59</x:v>
      </x:c>
      <x:c r="B34" s="3">
        <x:v>67</x:v>
      </x:c>
      <x:c r="C34" s="2" t="s">
        <x:v>188</x:v>
      </x:c>
      <x:c r="D34" s="2" t="s">
        <x:v>189</x:v>
      </x:c>
      <x:c r="E34" s="2" t="s">
        <x:v>62</x:v>
      </x:c>
      <x:c r="F34" s="2" t="s">
        <x:v>63</x:v>
      </x:c>
      <x:c r="G34" s="3">
        <x:v>30</x:v>
      </x:c>
      <x:c r="H34" s="3">
        <x:v>0</x:v>
      </x:c>
      <x:c r="I34" s="3">
        <x:v>120</x:v>
      </x:c>
      <x:c r="J34" s="4">
        <x:v>6.9767441860465115E-2</x:v>
      </x:c>
      <x:c r="K34" s="3">
        <x:v>0</x:v>
      </x:c>
      <x:c r="L34" s="2" t="s">
        <x:v>190</x:v>
      </x:c>
      <x:c r="M34" s="3">
        <x:v>422</x:v>
      </x:c>
      <x:c r="N34" s="3">
        <x:v>29</x:v>
      </x:c>
      <x:c r="O34" s="5">
        <x:v>130.9594990119864</x:v>
      </x:c>
      <x:c r="P34" s="5">
        <x:v>24.278752366446859</x:v>
      </x:c>
      <x:c r="Q34" s="5"/>
      <x:c r="R34" s="5">
        <x:v>82.487670354520105</x:v>
      </x:c>
      <x:c r="S34" s="5">
        <x:f t="shared" si="0"/>
        <x:v>76.23010737747876</x:v>
      </x:c>
      <x:c r="T34" s="5">
        <x:f t="shared" si="1"/>
        <x:v>76.23010737747876</x:v>
      </x:c>
      <x:c r="U34" s="5" t="e">
        <x:f>T34/[1]Model_Parameters!$B$22</x:f>
        <x:v>#NAME?</x:v>
      </x:c>
      <x:c r="V34" s="5">
        <x:v>373.89365664598103</x:v>
      </x:c>
      <x:c r="W34" s="5">
        <x:v>373.89365664598103</x:v>
      </x:c>
      <x:c r="X34" s="5">
        <x:v>94.178047609752724</x:v>
      </x:c>
      <x:c r="Y34" s="3">
        <x:v>5</x:v>
      </x:c>
      <x:c r="Z34" s="3">
        <x:v>0</x:v>
      </x:c>
      <x:c r="AA34" s="3"/>
      <x:c r="AB34" s="2"/>
      <x:c r="AC34" s="3"/>
      <x:c r="AD34" s="3"/>
      <x:c r="AE34" s="2" t="s">
        <x:v>65</x:v>
      </x:c>
      <x:c r="AF34" s="3">
        <x:v>1</x:v>
      </x:c>
      <x:c r="AG34" s="3">
        <x:v>0</x:v>
      </x:c>
      <x:c r="AH34" s="2" t="s">
        <x:v>190</x:v>
      </x:c>
      <x:c r="AI34" s="3">
        <x:v>29</x:v>
      </x:c>
      <x:c r="AJ34" s="3">
        <x:v>0</x:v>
      </x:c>
      <x:c r="AK34" s="2" t="s">
        <x:v>66</x:v>
      </x:c>
      <x:c r="AL34" s="3">
        <x:v>0</x:v>
      </x:c>
      <x:c r="AM34" s="2" t="s">
        <x:v>191</x:v>
      </x:c>
      <x:c r="AN34" s="3">
        <x:v>30</x:v>
      </x:c>
      <x:c r="AO34" s="3">
        <x:v>15</x:v>
      </x:c>
      <x:c r="AP34" s="3">
        <x:v>15</x:v>
      </x:c>
      <x:c r="AQ34" s="5">
        <x:v>80.942543737320634</x:v>
      </x:c>
      <x:c r="AR34" s="5">
        <x:v>76.230107377478745</x:v>
      </x:c>
      <x:c r="AS34" s="5">
        <x:f t="shared" si="2"/>
        <x:v>99.999999999999972</x:v>
      </x:c>
      <x:c r="AT34" s="5">
        <x:v>323.77017494928248</x:v>
      </x:c>
      <x:c r="AU34" s="5">
        <x:v>373.89365664598103</x:v>
      </x:c>
      <x:c r="AV34" s="5">
        <x:v>82.487670354520105</x:v>
      </x:c>
      <x:c r="AW34" s="2" t="b">
        <x:v>0</x:v>
      </x:c>
      <x:c r="AX34" s="2"/>
      <x:c r="AY34" s="2" t="s">
        <x:v>68</x:v>
      </x:c>
      <x:c r="AZ34" s="6">
        <x:v>29</x:v>
      </x:c>
      <x:c r="BA34" s="6"/>
      <x:c r="BB34" s="7"/>
      <x:c r="BC34" s="7"/>
      <x:c r="BD34" s="8"/>
      <x:c r="BE34" s="2" t="e">
        <x:f>IF(AE34="Blocked","No",IF(AJ34&lt;=[1]Model_Parameters!$B$20,"Yes","No"))</x:f>
        <x:v>#NAME?</x:v>
      </x:c>
      <x:c r="BF34" s="2" t="str">
        <x:f t="shared" si="3"/>
        <x:v>Yes</x:v>
      </x:c>
      <x:c r="BG34" s="2" t="str">
        <x:f t="shared" si="4"/>
        <x:v>Yes</x:v>
      </x:c>
      <x:c r="BH34" s="24"/>
      <x:c r="BI34" s="24"/>
    </x:row>
    <x:row r="35">
      <x:c r="A35" s="2" t="s">
        <x:v>59</x:v>
      </x:c>
      <x:c r="B35" s="3">
        <x:v>70</x:v>
      </x:c>
      <x:c r="C35" s="2" t="s">
        <x:v>192</x:v>
      </x:c>
      <x:c r="D35" s="2" t="s">
        <x:v>193</x:v>
      </x:c>
      <x:c r="E35" s="2" t="s">
        <x:v>62</x:v>
      </x:c>
      <x:c r="F35" s="2" t="s">
        <x:v>63</x:v>
      </x:c>
      <x:c r="G35" s="3">
        <x:v>31</x:v>
      </x:c>
      <x:c r="H35" s="3">
        <x:v>0</x:v>
      </x:c>
      <x:c r="I35" s="3">
        <x:v>120</x:v>
      </x:c>
      <x:c r="J35" s="4">
        <x:v>6.9767441860465115E-2</x:v>
      </x:c>
      <x:c r="K35" s="3">
        <x:v>0</x:v>
      </x:c>
      <x:c r="L35" s="2" t="s">
        <x:v>149</x:v>
      </x:c>
      <x:c r="M35" s="3">
        <x:v>428</x:v>
      </x:c>
      <x:c r="N35" s="3">
        <x:v>29</x:v>
      </x:c>
      <x:c r="O35" s="5">
        <x:v>96.190473551419885</x:v>
      </x:c>
      <x:c r="P35" s="5">
        <x:v>8.9664134740487338</x:v>
      </x:c>
      <x:c r="Q35" s="5"/>
      <x:c r="R35" s="5">
        <x:v>75.744933805100317</x:v>
      </x:c>
      <x:c r="S35" s="5">
        <x:f t="shared" si="0"/>
        <x:v>64.234574937069723</x:v>
      </x:c>
      <x:c r="T35" s="5">
        <x:f t="shared" si="1"/>
        <x:v>64.234574937069723</x:v>
      </x:c>
      <x:c r="U35" s="5" t="e">
        <x:f>T35/[1]Model_Parameters!$B$22</x:f>
        <x:v>#NAME?</x:v>
      </x:c>
      <x:c r="V35" s="5">
        <x:v>437.12168418344828</x:v>
      </x:c>
      <x:c r="W35" s="5">
        <x:v>437.12168418344828</x:v>
      </x:c>
      <x:c r="X35" s="5">
        <x:v>90.919410891221801</x:v>
      </x:c>
      <x:c r="Y35" s="3">
        <x:v>6</x:v>
      </x:c>
      <x:c r="Z35" s="3">
        <x:v>0</x:v>
      </x:c>
      <x:c r="AA35" s="3"/>
      <x:c r="AB35" s="2"/>
      <x:c r="AC35" s="3"/>
      <x:c r="AD35" s="3"/>
      <x:c r="AE35" s="2" t="s">
        <x:v>65</x:v>
      </x:c>
      <x:c r="AF35" s="3">
        <x:v>4</x:v>
      </x:c>
      <x:c r="AG35" s="3">
        <x:v>0</x:v>
      </x:c>
      <x:c r="AH35" s="2" t="s">
        <x:v>149</x:v>
      </x:c>
      <x:c r="AI35" s="3">
        <x:v>29</x:v>
      </x:c>
      <x:c r="AJ35" s="3">
        <x:v>0</x:v>
      </x:c>
      <x:c r="AK35" s="2" t="s">
        <x:v>66</x:v>
      </x:c>
      <x:c r="AL35" s="3">
        <x:v>0</x:v>
      </x:c>
      <x:c r="AM35" s="2" t="s">
        <x:v>194</x:v>
      </x:c>
      <x:c r="AN35" s="3">
        <x:v>30</x:v>
      </x:c>
      <x:c r="AO35" s="3">
        <x:v>10</x:v>
      </x:c>
      <x:c r="AP35" s="3">
        <x:v>10</x:v>
      </x:c>
      <x:c r="AQ35" s="5">
        <x:v>70.650012255272429</x:v>
      </x:c>
      <x:c r="AR35" s="5">
        <x:v>64.234574937069709</x:v>
      </x:c>
      <x:c r="AS35" s="5">
        <x:f t="shared" si="2"/>
        <x:v>99.999999999999972</x:v>
      </x:c>
      <x:c r="AT35" s="5">
        <x:v>423.90007353163458</x:v>
      </x:c>
      <x:c r="AU35" s="5">
        <x:v>437.12168418344828</x:v>
      </x:c>
      <x:c r="AV35" s="5">
        <x:v>75.744933805100317</x:v>
      </x:c>
      <x:c r="AW35" s="2" t="b">
        <x:v>0</x:v>
      </x:c>
      <x:c r="AX35" s="2"/>
      <x:c r="AY35" s="2" t="s">
        <x:v>68</x:v>
      </x:c>
      <x:c r="AZ35" s="6">
        <x:v>29</x:v>
      </x:c>
      <x:c r="BA35" s="6"/>
      <x:c r="BB35" s="7"/>
      <x:c r="BC35" s="7"/>
      <x:c r="BD35" s="8"/>
      <x:c r="BE35" s="2" t="e">
        <x:f>IF(AE35="Blocked","No",IF(AJ35&lt;=[1]Model_Parameters!$B$20,"Yes","No"))</x:f>
        <x:v>#NAME?</x:v>
      </x:c>
      <x:c r="BF35" s="2" t="str">
        <x:f t="shared" si="3"/>
        <x:v>Yes</x:v>
      </x:c>
      <x:c r="BG35" s="2" t="str">
        <x:f t="shared" si="4"/>
        <x:v>Yes</x:v>
      </x:c>
      <x:c r="BH35" s="24"/>
      <x:c r="BI35" s="24"/>
    </x:row>
    <x:row r="36">
      <x:c r="A36" s="2" t="s">
        <x:v>59</x:v>
      </x:c>
      <x:c r="B36" s="3">
        <x:v>71</x:v>
      </x:c>
      <x:c r="C36" s="2" t="s">
        <x:v>195</x:v>
      </x:c>
      <x:c r="D36" s="2" t="s">
        <x:v>196</x:v>
      </x:c>
      <x:c r="E36" s="2" t="s">
        <x:v>62</x:v>
      </x:c>
      <x:c r="F36" s="2" t="s">
        <x:v>63</x:v>
      </x:c>
      <x:c r="G36" s="3">
        <x:v>32</x:v>
      </x:c>
      <x:c r="H36" s="3">
        <x:v>0</x:v>
      </x:c>
      <x:c r="I36" s="3">
        <x:v>120</x:v>
      </x:c>
      <x:c r="J36" s="4">
        <x:v>6.9767441860465115E-2</x:v>
      </x:c>
      <x:c r="K36" s="3">
        <x:v>0</x:v>
      </x:c>
      <x:c r="L36" s="2" t="s">
        <x:v>197</x:v>
      </x:c>
      <x:c r="M36" s="3">
        <x:v>429</x:v>
      </x:c>
      <x:c r="N36" s="3">
        <x:v>29</x:v>
      </x:c>
      <x:c r="O36" s="5">
        <x:v>112.6960871946893</x:v>
      </x:c>
      <x:c r="P36" s="5">
        <x:v>12.787220782695339</x:v>
      </x:c>
      <x:c r="Q36" s="5"/>
      <x:c r="R36" s="5">
        <x:v>95.597914544671752</x:v>
      </x:c>
      <x:c r="S36" s="5">
        <x:f t="shared" si="0"/>
        <x:v>93.324411648524077</x:v>
      </x:c>
      <x:c r="T36" s="5">
        <x:f t="shared" si="1"/>
        <x:v>93.324411648524077</x:v>
      </x:c>
      <x:c r="U36" s="5" t="e">
        <x:f>T36/[1]Model_Parameters!$B$22</x:f>
        <x:v>#NAME?</x:v>
      </x:c>
      <x:c r="V36" s="5">
        <x:v>164.50803039415081</x:v>
      </x:c>
      <x:c r="W36" s="5">
        <x:v>164.50803039415081</x:v>
      </x:c>
      <x:c r="X36" s="5">
        <x:v>92.888787632875221</x:v>
      </x:c>
      <x:c r="Y36" s="3">
        <x:v>7</x:v>
      </x:c>
      <x:c r="Z36" s="3">
        <x:v>0</x:v>
      </x:c>
      <x:c r="AA36" s="3"/>
      <x:c r="AB36" s="2"/>
      <x:c r="AC36" s="3"/>
      <x:c r="AD36" s="3"/>
      <x:c r="AE36" s="2" t="s">
        <x:v>65</x:v>
      </x:c>
      <x:c r="AF36" s="3">
        <x:v>5</x:v>
      </x:c>
      <x:c r="AG36" s="3">
        <x:v>0</x:v>
      </x:c>
      <x:c r="AH36" s="2" t="s">
        <x:v>197</x:v>
      </x:c>
      <x:c r="AI36" s="3">
        <x:v>29</x:v>
      </x:c>
      <x:c r="AJ36" s="3">
        <x:v>0</x:v>
      </x:c>
      <x:c r="AK36" s="2" t="s">
        <x:v>66</x:v>
      </x:c>
      <x:c r="AL36" s="3">
        <x:v>0</x:v>
      </x:c>
      <x:c r="AM36" s="2" t="s">
        <x:v>198</x:v>
      </x:c>
      <x:c r="AN36" s="3">
        <x:v>33</x:v>
      </x:c>
      <x:c r="AO36" s="3">
        <x:v>51</x:v>
      </x:c>
      <x:c r="AP36" s="3">
        <x:v>51</x:v>
      </x:c>
      <x:c r="AQ36" s="5">
        <x:v>100.4689737338056</x:v>
      </x:c>
      <x:c r="AR36" s="5">
        <x:v>93.324411648523935</x:v>
      </x:c>
      <x:c r="AS36" s="5">
        <x:f t="shared" si="2"/>
        <x:v>99.999999999999844</x:v>
      </x:c>
      <x:c r="AT36" s="5">
        <x:v>118.1987926280066</x:v>
      </x:c>
      <x:c r="AU36" s="5">
        <x:v>164.50803039415081</x:v>
      </x:c>
      <x:c r="AV36" s="5">
        <x:v>95.597914544671752</x:v>
      </x:c>
      <x:c r="AW36" s="2" t="b">
        <x:v>0</x:v>
      </x:c>
      <x:c r="AX36" s="2"/>
      <x:c r="AY36" s="2" t="s">
        <x:v>68</x:v>
      </x:c>
      <x:c r="AZ36" s="6">
        <x:v>29</x:v>
      </x:c>
      <x:c r="BA36" s="6"/>
      <x:c r="BB36" s="7"/>
      <x:c r="BC36" s="7"/>
      <x:c r="BD36" s="8"/>
      <x:c r="BE36" s="2" t="e">
        <x:f>IF(AE36="Blocked","No",IF(AJ36&lt;=[1]Model_Parameters!$B$20,"Yes","No"))</x:f>
        <x:v>#NAME?</x:v>
      </x:c>
      <x:c r="BF36" s="2" t="str">
        <x:f t="shared" si="3"/>
        <x:v>Yes</x:v>
      </x:c>
      <x:c r="BG36" s="2" t="str">
        <x:f t="shared" si="4"/>
        <x:v>Yes</x:v>
      </x:c>
      <x:c r="BH36" s="24"/>
      <x:c r="BI36" s="24"/>
    </x:row>
    <x:row r="37">
      <x:c r="A37" s="2" t="s">
        <x:v>59</x:v>
      </x:c>
      <x:c r="B37" s="3">
        <x:v>72</x:v>
      </x:c>
      <x:c r="C37" s="2" t="s">
        <x:v>199</x:v>
      </x:c>
      <x:c r="D37" s="2" t="s">
        <x:v>200</x:v>
      </x:c>
      <x:c r="E37" s="2" t="s">
        <x:v>62</x:v>
      </x:c>
      <x:c r="F37" s="2" t="s">
        <x:v>63</x:v>
      </x:c>
      <x:c r="G37" s="3">
        <x:v>33</x:v>
      </x:c>
      <x:c r="H37" s="3">
        <x:v>0</x:v>
      </x:c>
      <x:c r="I37" s="3">
        <x:v>120</x:v>
      </x:c>
      <x:c r="J37" s="4">
        <x:v>6.9767441860465115E-2</x:v>
      </x:c>
      <x:c r="K37" s="3">
        <x:v>0</x:v>
      </x:c>
      <x:c r="L37" s="2" t="s">
        <x:v>167</x:v>
      </x:c>
      <x:c r="M37" s="3">
        <x:v>433</x:v>
      </x:c>
      <x:c r="N37" s="3">
        <x:v>29</x:v>
      </x:c>
      <x:c r="O37" s="5">
        <x:v>110.6360823425413</x:v>
      </x:c>
      <x:c r="P37" s="5">
        <x:v>36.446388133291983</x:v>
      </x:c>
      <x:c r="Q37" s="5"/>
      <x:c r="R37" s="5">
        <x:v>89.930672587671879</x:v>
      </x:c>
      <x:c r="S37" s="5">
        <x:f t="shared" si="0"/>
        <x:v>59.17291698926676</x:v>
      </x:c>
      <x:c r="T37" s="5">
        <x:f t="shared" si="1"/>
        <x:v>59.17291698926676</x:v>
      </x:c>
      <x:c r="U37" s="5" t="e">
        <x:f>T37/[1]Model_Parameters!$B$22</x:f>
        <x:v>#NAME?</x:v>
      </x:c>
      <x:c r="V37" s="5">
        <x:v>405.12907282059513</x:v>
      </x:c>
      <x:c r="W37" s="5">
        <x:v>405.12907282059513</x:v>
      </x:c>
      <x:c r="X37" s="5">
        <x:v>94.266175750535339</x:v>
      </x:c>
      <x:c r="Y37" s="3">
        <x:v>7</x:v>
      </x:c>
      <x:c r="Z37" s="3">
        <x:v>0</x:v>
      </x:c>
      <x:c r="AA37" s="3"/>
      <x:c r="AB37" s="2"/>
      <x:c r="AC37" s="3"/>
      <x:c r="AD37" s="3"/>
      <x:c r="AE37" s="2" t="s">
        <x:v>65</x:v>
      </x:c>
      <x:c r="AF37" s="3">
        <x:v>6</x:v>
      </x:c>
      <x:c r="AG37" s="3">
        <x:v>0</x:v>
      </x:c>
      <x:c r="AH37" s="2" t="s">
        <x:v>167</x:v>
      </x:c>
      <x:c r="AI37" s="3">
        <x:v>29</x:v>
      </x:c>
      <x:c r="AJ37" s="3">
        <x:v>0</x:v>
      </x:c>
      <x:c r="AK37" s="2" t="s">
        <x:v>66</x:v>
      </x:c>
      <x:c r="AL37" s="3">
        <x:v>0</x:v>
      </x:c>
      <x:c r="AM37" s="2" t="s">
        <x:v>201</x:v>
      </x:c>
      <x:c r="AN37" s="3">
        <x:v>30</x:v>
      </x:c>
      <x:c r="AO37" s="3">
        <x:v>13</x:v>
      </x:c>
      <x:c r="AP37" s="3">
        <x:v>13</x:v>
      </x:c>
      <x:c r="AQ37" s="5">
        <x:v>62.772162462452208</x:v>
      </x:c>
      <x:c r="AR37" s="5">
        <x:v>59.172916989266781</x:v>
      </x:c>
      <x:c r="AS37" s="5">
        <x:f t="shared" si="2"/>
        <x:v>100.00000000000004</x:v>
      </x:c>
      <x:c r="AT37" s="5">
        <x:v>289.71767290362561</x:v>
      </x:c>
      <x:c r="AU37" s="5">
        <x:v>405.12907282059501</x:v>
      </x:c>
      <x:c r="AV37" s="5">
        <x:v>89.930672587671879</x:v>
      </x:c>
      <x:c r="AW37" s="2" t="b">
        <x:v>0</x:v>
      </x:c>
      <x:c r="AX37" s="2"/>
      <x:c r="AY37" s="2" t="s">
        <x:v>68</x:v>
      </x:c>
      <x:c r="AZ37" s="6">
        <x:v>29</x:v>
      </x:c>
      <x:c r="BA37" s="6"/>
      <x:c r="BB37" s="7"/>
      <x:c r="BC37" s="7"/>
      <x:c r="BD37" s="8"/>
      <x:c r="BE37" s="2" t="e">
        <x:f>IF(AE37="Blocked","No",IF(AJ37&lt;=[1]Model_Parameters!$B$20,"Yes","No"))</x:f>
        <x:v>#NAME?</x:v>
      </x:c>
      <x:c r="BF37" s="2" t="str">
        <x:f t="shared" si="3"/>
        <x:v>Yes</x:v>
      </x:c>
      <x:c r="BG37" s="2" t="str">
        <x:f t="shared" si="4"/>
        <x:v>Yes</x:v>
      </x:c>
      <x:c r="BH37" s="24"/>
      <x:c r="BI37" s="24"/>
    </x:row>
    <x:row r="38">
      <x:c r="A38" s="2" t="s">
        <x:v>59</x:v>
      </x:c>
      <x:c r="B38" s="3">
        <x:v>73</x:v>
      </x:c>
      <x:c r="C38" s="2" t="s">
        <x:v>202</x:v>
      </x:c>
      <x:c r="D38" s="2" t="s">
        <x:v>203</x:v>
      </x:c>
      <x:c r="E38" s="2" t="s">
        <x:v>62</x:v>
      </x:c>
      <x:c r="F38" s="2" t="s">
        <x:v>63</x:v>
      </x:c>
      <x:c r="G38" s="3">
        <x:v>34</x:v>
      </x:c>
      <x:c r="H38" s="3">
        <x:v>0</x:v>
      </x:c>
      <x:c r="I38" s="3">
        <x:v>120</x:v>
      </x:c>
      <x:c r="J38" s="4">
        <x:v>6.9767441860465115E-2</x:v>
      </x:c>
      <x:c r="K38" s="3">
        <x:v>0</x:v>
      </x:c>
      <x:c r="L38" s="2" t="s">
        <x:v>204</x:v>
      </x:c>
      <x:c r="M38" s="3">
        <x:v>435</x:v>
      </x:c>
      <x:c r="N38" s="3">
        <x:v>30</x:v>
      </x:c>
      <x:c r="O38" s="5">
        <x:v>94.584315034115676</x:v>
      </x:c>
      <x:c r="P38" s="5">
        <x:v>12.902282734068001</x:v>
      </x:c>
      <x:c r="Q38" s="5"/>
      <x:c r="R38" s="5">
        <x:v>92.519678674796154</x:v>
      </x:c>
      <x:c r="S38" s="5">
        <x:f t="shared" si="0"/>
        <x:v>75.305568598537548</x:v>
      </x:c>
      <x:c r="T38" s="5">
        <x:f t="shared" si="1"/>
        <x:v>75.305568598537548</x:v>
      </x:c>
      <x:c r="U38" s="5" t="e">
        <x:f>T38/[1]Model_Parameters!$B$22</x:f>
        <x:v>#NAME?</x:v>
      </x:c>
      <x:c r="V38" s="5">
        <x:v>260.04467958903172</x:v>
      </x:c>
      <x:c r="W38" s="5">
        <x:v>260.04467958903172</x:v>
      </x:c>
      <x:c r="X38" s="5">
        <x:v>92.371136841210173</x:v>
      </x:c>
      <x:c r="Y38" s="3">
        <x:v>7</x:v>
      </x:c>
      <x:c r="Z38" s="3">
        <x:v>0</x:v>
      </x:c>
      <x:c r="AA38" s="3"/>
      <x:c r="AB38" s="2"/>
      <x:c r="AC38" s="3"/>
      <x:c r="AD38" s="3"/>
      <x:c r="AE38" s="2" t="s">
        <x:v>65</x:v>
      </x:c>
      <x:c r="AF38" s="3">
        <x:v>7</x:v>
      </x:c>
      <x:c r="AG38" s="3">
        <x:v>0</x:v>
      </x:c>
      <x:c r="AH38" s="2" t="s">
        <x:v>204</x:v>
      </x:c>
      <x:c r="AI38" s="3">
        <x:v>30</x:v>
      </x:c>
      <x:c r="AJ38" s="3">
        <x:v>0</x:v>
      </x:c>
      <x:c r="AK38" s="2" t="s">
        <x:v>66</x:v>
      </x:c>
      <x:c r="AL38" s="3">
        <x:v>0</x:v>
      </x:c>
      <x:c r="AM38" s="2" t="s">
        <x:v>205</x:v>
      </x:c>
      <x:c r="AN38" s="3">
        <x:v>31</x:v>
      </x:c>
      <x:c r="AO38" s="3">
        <x:v>26</x:v>
      </x:c>
      <x:c r="AP38" s="3">
        <x:v>26</x:v>
      </x:c>
      <x:c r="AQ38" s="5">
        <x:v>81.524999229998599</x:v>
      </x:c>
      <x:c r="AR38" s="5">
        <x:v>75.305568598537505</x:v>
      </x:c>
      <x:c r="AS38" s="5">
        <x:f t="shared" si="2"/>
        <x:v>99.999999999999943</x:v>
      </x:c>
      <x:c r="AT38" s="5">
        <x:v>188.13461360768909</x:v>
      </x:c>
      <x:c r="AU38" s="5">
        <x:v>260.04467958903177</x:v>
      </x:c>
      <x:c r="AV38" s="5">
        <x:v>92.519678674796154</x:v>
      </x:c>
      <x:c r="AW38" s="2" t="b">
        <x:v>0</x:v>
      </x:c>
      <x:c r="AX38" s="2"/>
      <x:c r="AY38" s="2" t="s">
        <x:v>68</x:v>
      </x:c>
      <x:c r="AZ38" s="6">
        <x:v>30</x:v>
      </x:c>
      <x:c r="BA38" s="6"/>
      <x:c r="BB38" s="7"/>
      <x:c r="BC38" s="7"/>
      <x:c r="BD38" s="8"/>
      <x:c r="BE38" s="2" t="e">
        <x:f>IF(AE38="Blocked","No",IF(AJ38&lt;=[1]Model_Parameters!$B$20,"Yes","No"))</x:f>
        <x:v>#NAME?</x:v>
      </x:c>
      <x:c r="BF38" s="2" t="str">
        <x:f t="shared" si="3"/>
        <x:v>Yes</x:v>
      </x:c>
      <x:c r="BG38" s="2" t="str">
        <x:f t="shared" si="4"/>
        <x:v>Yes</x:v>
      </x:c>
      <x:c r="BH38" s="24"/>
      <x:c r="BI38" s="24"/>
    </x:row>
    <x:row r="39">
      <x:c r="A39" s="2" t="s">
        <x:v>59</x:v>
      </x:c>
      <x:c r="B39" s="3">
        <x:v>75</x:v>
      </x:c>
      <x:c r="C39" s="2" t="s">
        <x:v>206</x:v>
      </x:c>
      <x:c r="D39" s="2" t="s">
        <x:v>207</x:v>
      </x:c>
      <x:c r="E39" s="2" t="s">
        <x:v>62</x:v>
      </x:c>
      <x:c r="F39" s="2" t="s">
        <x:v>63</x:v>
      </x:c>
      <x:c r="G39" s="3">
        <x:v>35</x:v>
      </x:c>
      <x:c r="H39" s="3">
        <x:v>0</x:v>
      </x:c>
      <x:c r="I39" s="3">
        <x:v>120</x:v>
      </x:c>
      <x:c r="J39" s="4">
        <x:v>6.9767441860465115E-2</x:v>
      </x:c>
      <x:c r="K39" s="3">
        <x:v>0</x:v>
      </x:c>
      <x:c r="L39" s="2" t="s">
        <x:v>208</x:v>
      </x:c>
      <x:c r="M39" s="3">
        <x:v>439</x:v>
      </x:c>
      <x:c r="N39" s="3">
        <x:v>30</x:v>
      </x:c>
      <x:c r="O39" s="5">
        <x:v>93.398669526147387</x:v>
      </x:c>
      <x:c r="P39" s="5">
        <x:v>23.15324260496201</x:v>
      </x:c>
      <x:c r="Q39" s="5"/>
      <x:c r="R39" s="5">
        <x:v>80.497681792717131</x:v>
      </x:c>
      <x:c r="S39" s="5">
        <x:f t="shared" si="0"/>
        <x:v>53.558943248593962</x:v>
      </x:c>
      <x:c r="T39" s="5">
        <x:f t="shared" si="1"/>
        <x:v>53.558943248593962</x:v>
      </x:c>
      <x:c r="U39" s="5" t="e">
        <x:f>T39/[1]Model_Parameters!$B$22</x:f>
        <x:v>#NAME?</x:v>
      </x:c>
      <x:c r="V39" s="5">
        <x:v>352.36082684772941</x:v>
      </x:c>
      <x:c r="W39" s="5">
        <x:v>352.36082684772941</x:v>
      </x:c>
      <x:c r="X39" s="5">
        <x:v>91.946926014698064</x:v>
      </x:c>
      <x:c r="Y39" s="3">
        <x:v>6</x:v>
      </x:c>
      <x:c r="Z39" s="3">
        <x:v>0</x:v>
      </x:c>
      <x:c r="AA39" s="3"/>
      <x:c r="AB39" s="2"/>
      <x:c r="AC39" s="3"/>
      <x:c r="AD39" s="3"/>
      <x:c r="AE39" s="2" t="s">
        <x:v>65</x:v>
      </x:c>
      <x:c r="AF39" s="3">
        <x:v>10</x:v>
      </x:c>
      <x:c r="AG39" s="3">
        <x:v>0</x:v>
      </x:c>
      <x:c r="AH39" s="2" t="s">
        <x:v>208</x:v>
      </x:c>
      <x:c r="AI39" s="3">
        <x:v>30</x:v>
      </x:c>
      <x:c r="AJ39" s="3">
        <x:v>0</x:v>
      </x:c>
      <x:c r="AK39" s="2" t="s">
        <x:v>66</x:v>
      </x:c>
      <x:c r="AL39" s="3">
        <x:v>0</x:v>
      </x:c>
      <x:c r="AM39" s="2" t="s">
        <x:v>209</x:v>
      </x:c>
      <x:c r="AN39" s="3">
        <x:v>31</x:v>
      </x:c>
      <x:c r="AO39" s="3">
        <x:v>11</x:v>
      </x:c>
      <x:c r="AP39" s="3">
        <x:v>11</x:v>
      </x:c>
      <x:c r="AQ39" s="5">
        <x:v>58.249846482124248</x:v>
      </x:c>
      <x:c r="AR39" s="5">
        <x:v>53.55894324859397</x:v>
      </x:c>
      <x:c r="AS39" s="5">
        <x:f t="shared" si="2"/>
        <x:v>100.00000000000003</x:v>
      </x:c>
      <x:c r="AT39" s="5">
        <x:v>317.7264353570414</x:v>
      </x:c>
      <x:c r="AU39" s="5">
        <x:v>352.36082684772941</x:v>
      </x:c>
      <x:c r="AV39" s="5">
        <x:v>80.497681792717131</x:v>
      </x:c>
      <x:c r="AW39" s="2" t="b">
        <x:v>0</x:v>
      </x:c>
      <x:c r="AX39" s="2"/>
      <x:c r="AY39" s="2" t="s">
        <x:v>68</x:v>
      </x:c>
      <x:c r="AZ39" s="6">
        <x:v>30</x:v>
      </x:c>
      <x:c r="BA39" s="6"/>
      <x:c r="BB39" s="7"/>
      <x:c r="BC39" s="7"/>
      <x:c r="BD39" s="8"/>
      <x:c r="BE39" s="2" t="e">
        <x:f>IF(AE39="Blocked","No",IF(AJ39&lt;=[1]Model_Parameters!$B$20,"Yes","No"))</x:f>
        <x:v>#NAME?</x:v>
      </x:c>
      <x:c r="BF39" s="2" t="str">
        <x:f t="shared" si="3"/>
        <x:v>Yes</x:v>
      </x:c>
      <x:c r="BG39" s="2" t="str">
        <x:f t="shared" si="4"/>
        <x:v>Yes</x:v>
      </x:c>
      <x:c r="BH39" s="24"/>
      <x:c r="BI39" s="24"/>
    </x:row>
    <x:row r="40">
      <x:c r="A40" s="2" t="s">
        <x:v>59</x:v>
      </x:c>
      <x:c r="B40" s="3">
        <x:v>76</x:v>
      </x:c>
      <x:c r="C40" s="2" t="s">
        <x:v>210</x:v>
      </x:c>
      <x:c r="D40" s="2" t="s">
        <x:v>211</x:v>
      </x:c>
      <x:c r="E40" s="2" t="s">
        <x:v>62</x:v>
      </x:c>
      <x:c r="F40" s="2" t="s">
        <x:v>63</x:v>
      </x:c>
      <x:c r="G40" s="3">
        <x:v>36</x:v>
      </x:c>
      <x:c r="H40" s="3">
        <x:v>0</x:v>
      </x:c>
      <x:c r="I40" s="3">
        <x:v>120</x:v>
      </x:c>
      <x:c r="J40" s="4">
        <x:v>6.9767441860465115E-2</x:v>
      </x:c>
      <x:c r="K40" s="3">
        <x:v>0</x:v>
      </x:c>
      <x:c r="L40" s="2" t="s">
        <x:v>212</x:v>
      </x:c>
      <x:c r="M40" s="3">
        <x:v>452</x:v>
      </x:c>
      <x:c r="N40" s="3">
        <x:v>31</x:v>
      </x:c>
      <x:c r="O40" s="5">
        <x:v>84.384447951816369</x:v>
      </x:c>
      <x:c r="P40" s="5">
        <x:v>14.883681596443401</x:v>
      </x:c>
      <x:c r="Q40" s="5"/>
      <x:c r="R40" s="5">
        <x:v>68.332804984475075</x:v>
      </x:c>
      <x:c r="S40" s="5">
        <x:f t="shared" si="0"/>
        <x:v>45.102747706075696</x:v>
      </x:c>
      <x:c r="T40" s="5">
        <x:f t="shared" si="1"/>
        <x:v>45.102747706075696</x:v>
      </x:c>
      <x:c r="U40" s="5" t="e">
        <x:f>T40/[1]Model_Parameters!$B$22</x:f>
        <x:v>#NAME?</x:v>
      </x:c>
      <x:c r="V40" s="5">
        <x:v>156.22942921093829</x:v>
      </x:c>
      <x:c r="W40" s="5">
        <x:v>156.22942921093829</x:v>
      </x:c>
      <x:c r="X40" s="5">
        <x:v>92.302151492167013</x:v>
      </x:c>
      <x:c r="Y40" s="3">
        <x:v>2</x:v>
      </x:c>
      <x:c r="Z40" s="3">
        <x:v>0</x:v>
      </x:c>
      <x:c r="AA40" s="3"/>
      <x:c r="AB40" s="2"/>
      <x:c r="AC40" s="3"/>
      <x:c r="AD40" s="3"/>
      <x:c r="AE40" s="2" t="s">
        <x:v>65</x:v>
      </x:c>
      <x:c r="AF40" s="3">
        <x:v>1</x:v>
      </x:c>
      <x:c r="AG40" s="3">
        <x:v>0</x:v>
      </x:c>
      <x:c r="AH40" s="2" t="s">
        <x:v>212</x:v>
      </x:c>
      <x:c r="AI40" s="3">
        <x:v>31</x:v>
      </x:c>
      <x:c r="AJ40" s="3">
        <x:v>0</x:v>
      </x:c>
      <x:c r="AK40" s="2" t="s">
        <x:v>66</x:v>
      </x:c>
      <x:c r="AL40" s="3">
        <x:v>0</x:v>
      </x:c>
      <x:c r="AM40" s="2" t="s">
        <x:v>213</x:v>
      </x:c>
      <x:c r="AN40" s="3">
        <x:v>32</x:v>
      </x:c>
      <x:c r="AO40" s="3">
        <x:v>19</x:v>
      </x:c>
      <x:c r="AP40" s="3">
        <x:v>19</x:v>
      </x:c>
      <x:c r="AQ40" s="5">
        <x:v>48.864243115614997</x:v>
      </x:c>
      <x:c r="AR40" s="5">
        <x:v>45.102747706075718</x:v>
      </x:c>
      <x:c r="AS40" s="5">
        <x:f t="shared" si="2"/>
        <x:v>100.00000000000004</x:v>
      </x:c>
      <x:c r="AT40" s="5">
        <x:v>154.3081361545737</x:v>
      </x:c>
      <x:c r="AU40" s="5">
        <x:v>156.22942921093829</x:v>
      </x:c>
      <x:c r="AV40" s="5">
        <x:v>68.332804984475075</x:v>
      </x:c>
      <x:c r="AW40" s="2" t="b">
        <x:v>0</x:v>
      </x:c>
      <x:c r="AX40" s="2"/>
      <x:c r="AY40" s="2" t="s">
        <x:v>68</x:v>
      </x:c>
      <x:c r="AZ40" s="6">
        <x:v>31</x:v>
      </x:c>
      <x:c r="BA40" s="6"/>
      <x:c r="BB40" s="7"/>
      <x:c r="BC40" s="7"/>
      <x:c r="BD40" s="8"/>
      <x:c r="BE40" s="2" t="e">
        <x:f>IF(AE40="Blocked","No",IF(AJ40&lt;=[1]Model_Parameters!$B$20,"Yes","No"))</x:f>
        <x:v>#NAME?</x:v>
      </x:c>
      <x:c r="BF40" s="2" t="str">
        <x:f t="shared" si="3"/>
        <x:v>Yes</x:v>
      </x:c>
      <x:c r="BG40" s="2" t="str">
        <x:f t="shared" si="4"/>
        <x:v>Yes</x:v>
      </x:c>
      <x:c r="BH40" s="24"/>
      <x:c r="BI40" s="24"/>
    </x:row>
    <x:row r="41">
      <x:c r="A41" s="2" t="s">
        <x:v>59</x:v>
      </x:c>
      <x:c r="B41" s="3">
        <x:v>81</x:v>
      </x:c>
      <x:c r="C41" s="2" t="s">
        <x:v>214</x:v>
      </x:c>
      <x:c r="D41" s="2" t="s">
        <x:v>215</x:v>
      </x:c>
      <x:c r="E41" s="2" t="s">
        <x:v>79</x:v>
      </x:c>
      <x:c r="F41" s="2" t="s">
        <x:v>80</x:v>
      </x:c>
      <x:c r="G41" s="3">
        <x:v>4</x:v>
      </x:c>
      <x:c r="H41" s="3">
        <x:v>1</x:v>
      </x:c>
      <x:c r="I41" s="3">
        <x:v>30</x:v>
      </x:c>
      <x:c r="J41" s="4">
        <x:v>6.1050061050061048E-2</x:v>
      </x:c>
      <x:c r="K41" s="3">
        <x:v>0</x:v>
      </x:c>
      <x:c r="L41" s="2" t="s">
        <x:v>216</x:v>
      </x:c>
      <x:c r="M41" s="3">
        <x:v>469</x:v>
      </x:c>
      <x:c r="N41" s="3">
        <x:v>32</x:v>
      </x:c>
      <x:c r="O41" s="5">
        <x:v>76.896024325994659</x:v>
      </x:c>
      <x:c r="P41" s="5">
        <x:v>40.516789479221103</x:v>
      </x:c>
      <x:c r="Q41" s="5"/>
      <x:c r="R41" s="5">
        <x:v>88.197138969098489</x:v>
      </x:c>
      <x:c r="S41" s="5">
        <x:f t="shared" si="0"/>
        <x:v>36.664293142455385</x:v>
      </x:c>
      <x:c r="T41" s="5">
        <x:f t="shared" si="1"/>
        <x:v>36.664293142455385</x:v>
      </x:c>
      <x:c r="U41" s="5" t="e">
        <x:f>T41/[1]Model_Parameters!$B$22</x:f>
        <x:v>#NAME?</x:v>
      </x:c>
      <x:c r="V41" s="5">
        <x:v>189.28722969144749</x:v>
      </x:c>
      <x:c r="W41" s="5">
        <x:v>189.28722969144749</x:v>
      </x:c>
      <x:c r="X41" s="5">
        <x:v>94.975360307810575</x:v>
      </x:c>
      <x:c r="Y41" s="3">
        <x:v>6</x:v>
      </x:c>
      <x:c r="Z41" s="3">
        <x:v>0</x:v>
      </x:c>
      <x:c r="AA41" s="3"/>
      <x:c r="AB41" s="2"/>
      <x:c r="AC41" s="3"/>
      <x:c r="AD41" s="3"/>
      <x:c r="AE41" s="2" t="s">
        <x:v>65</x:v>
      </x:c>
      <x:c r="AF41" s="3">
        <x:v>7</x:v>
      </x:c>
      <x:c r="AG41" s="3">
        <x:v>0</x:v>
      </x:c>
      <x:c r="AH41" s="2" t="s">
        <x:v>216</x:v>
      </x:c>
      <x:c r="AI41" s="3">
        <x:v>32</x:v>
      </x:c>
      <x:c r="AJ41" s="3">
        <x:v>0</x:v>
      </x:c>
      <x:c r="AK41" s="2" t="s">
        <x:v>66</x:v>
      </x:c>
      <x:c r="AL41" s="3">
        <x:v>0</x:v>
      </x:c>
      <x:c r="AM41" s="2" t="s">
        <x:v>217</x:v>
      </x:c>
      <x:c r="AN41" s="3">
        <x:v>33</x:v>
      </x:c>
      <x:c r="AO41" s="3">
        <x:v>16</x:v>
      </x:c>
      <x:c r="AP41" s="3">
        <x:v>16</x:v>
      </x:c>
      <x:c r="AQ41" s="5">
        <x:v>38.604005316355909</x:v>
      </x:c>
      <x:c r="AR41" s="5">
        <x:v>36.664293142455378</x:v>
      </x:c>
      <x:c r="AS41" s="5">
        <x:f t="shared" si="2"/>
        <x:v>99.999999999999972</x:v>
      </x:c>
      <x:c r="AT41" s="5">
        <x:v>144.76501993633471</x:v>
      </x:c>
      <x:c r="AU41" s="5">
        <x:v>189.28722969144749</x:v>
      </x:c>
      <x:c r="AV41" s="5">
        <x:v>88.197138969098489</x:v>
      </x:c>
      <x:c r="AW41" s="2" t="b">
        <x:v>0</x:v>
      </x:c>
      <x:c r="AX41" s="2"/>
      <x:c r="AY41" s="2" t="s">
        <x:v>83</x:v>
      </x:c>
      <x:c r="AZ41" s="6">
        <x:v>32</x:v>
      </x:c>
      <x:c r="BA41" s="6"/>
      <x:c r="BB41" s="7"/>
      <x:c r="BC41" s="7"/>
      <x:c r="BD41" s="8"/>
      <x:c r="BE41" s="2" t="e">
        <x:f>IF(AE41="Blocked","No",IF(AJ41&lt;=[1]Model_Parameters!$B$20,"Yes","No"))</x:f>
        <x:v>#NAME?</x:v>
      </x:c>
      <x:c r="BF41" s="2" t="str">
        <x:f t="shared" si="3"/>
        <x:v>Yes</x:v>
      </x:c>
      <x:c r="BG41" s="2" t="str">
        <x:f t="shared" si="4"/>
        <x:v>Yes</x:v>
      </x:c>
      <x:c r="BH41" s="24" t="str">
        <x:v>05:45</x:v>
      </x:c>
      <x:c r="BI41" s="24" t="str">
        <x:v>12:15</x:v>
      </x:c>
    </x:row>
    <x:row r="42">
      <x:c r="A42" s="2" t="s">
        <x:v>59</x:v>
      </x:c>
      <x:c r="B42" s="3">
        <x:v>82</x:v>
      </x:c>
      <x:c r="C42" s="2" t="s">
        <x:v>218</x:v>
      </x:c>
      <x:c r="D42" s="2" t="s">
        <x:v>219</x:v>
      </x:c>
      <x:c r="E42" s="2" t="s">
        <x:v>62</x:v>
      </x:c>
      <x:c r="F42" s="2" t="s">
        <x:v>63</x:v>
      </x:c>
      <x:c r="G42" s="3">
        <x:v>37</x:v>
      </x:c>
      <x:c r="H42" s="3">
        <x:v>0</x:v>
      </x:c>
      <x:c r="I42" s="3">
        <x:v>120</x:v>
      </x:c>
      <x:c r="J42" s="4">
        <x:v>6.9767441860465115E-2</x:v>
      </x:c>
      <x:c r="K42" s="3">
        <x:v>0</x:v>
      </x:c>
      <x:c r="L42" s="2" t="s">
        <x:v>220</x:v>
      </x:c>
      <x:c r="M42" s="3">
        <x:v>474</x:v>
      </x:c>
      <x:c r="N42" s="3">
        <x:v>32</x:v>
      </x:c>
      <x:c r="O42" s="5">
        <x:v>92.989379789388636</x:v>
      </x:c>
      <x:c r="P42" s="5">
        <x:v>18.332451328751169</x:v>
      </x:c>
      <x:c r="Q42" s="5"/>
      <x:c r="R42" s="5">
        <x:v>70.933077588212839</x:v>
      </x:c>
      <x:c r="S42" s="5">
        <x:f t="shared" si="0"/>
        <x:v>48.912996124007705</x:v>
      </x:c>
      <x:c r="T42" s="5">
        <x:f t="shared" si="1"/>
        <x:v>48.912996124007705</x:v>
      </x:c>
      <x:c r="U42" s="5" t="e">
        <x:f>T42/[1]Model_Parameters!$B$22</x:f>
        <x:v>#NAME?</x:v>
      </x:c>
      <x:c r="V42" s="5">
        <x:v>191.1042376871747</x:v>
      </x:c>
      <x:c r="W42" s="5">
        <x:v>191.1042376871747</x:v>
      </x:c>
      <x:c r="X42" s="5">
        <x:v>94.098186835695159</x:v>
      </x:c>
      <x:c r="Y42" s="3">
        <x:v>4</x:v>
      </x:c>
      <x:c r="Z42" s="3">
        <x:v>0</x:v>
      </x:c>
      <x:c r="AA42" s="3"/>
      <x:c r="AB42" s="2"/>
      <x:c r="AC42" s="3"/>
      <x:c r="AD42" s="3"/>
      <x:c r="AE42" s="2" t="s">
        <x:v>65</x:v>
      </x:c>
      <x:c r="AF42" s="3">
        <x:v>8</x:v>
      </x:c>
      <x:c r="AG42" s="3">
        <x:v>0</x:v>
      </x:c>
      <x:c r="AH42" s="2" t="s">
        <x:v>220</x:v>
      </x:c>
      <x:c r="AI42" s="3">
        <x:v>32</x:v>
      </x:c>
      <x:c r="AJ42" s="3">
        <x:v>0</x:v>
      </x:c>
      <x:c r="AK42" s="2" t="s">
        <x:v>66</x:v>
      </x:c>
      <x:c r="AL42" s="3">
        <x:v>0</x:v>
      </x:c>
      <x:c r="AM42" s="2" t="s">
        <x:v>221</x:v>
      </x:c>
      <x:c r="AN42" s="3">
        <x:v>33</x:v>
      </x:c>
      <x:c r="AO42" s="3">
        <x:v>17</x:v>
      </x:c>
      <x:c r="AP42" s="3">
        <x:v>17</x:v>
      </x:c>
      <x:c r="AQ42" s="5">
        <x:v>51.980806186430243</x:v>
      </x:c>
      <x:c r="AR42" s="5">
        <x:v>48.912996124007726</x:v>
      </x:c>
      <x:c r="AS42" s="5">
        <x:f t="shared" si="2"/>
        <x:v>100.00000000000004</x:v>
      </x:c>
      <x:c r="AT42" s="5">
        <x:v>183.46166889328319</x:v>
      </x:c>
      <x:c r="AU42" s="5">
        <x:v>191.1042376871747</x:v>
      </x:c>
      <x:c r="AV42" s="5">
        <x:v>70.933077588212839</x:v>
      </x:c>
      <x:c r="AW42" s="2" t="b">
        <x:v>0</x:v>
      </x:c>
      <x:c r="AX42" s="2"/>
      <x:c r="AY42" s="2" t="s">
        <x:v>68</x:v>
      </x:c>
      <x:c r="AZ42" s="6">
        <x:v>32</x:v>
      </x:c>
      <x:c r="BA42" s="6"/>
      <x:c r="BB42" s="7"/>
      <x:c r="BC42" s="7"/>
      <x:c r="BD42" s="8"/>
      <x:c r="BE42" s="2" t="e">
        <x:f>IF(AE42="Blocked","No",IF(AJ42&lt;=[1]Model_Parameters!$B$20,"Yes","No"))</x:f>
        <x:v>#NAME?</x:v>
      </x:c>
      <x:c r="BF42" s="2" t="str">
        <x:f t="shared" si="3"/>
        <x:v>Yes</x:v>
      </x:c>
      <x:c r="BG42" s="2" t="str">
        <x:f t="shared" si="4"/>
        <x:v>Yes</x:v>
      </x:c>
      <x:c r="BH42" s="24"/>
      <x:c r="BI42" s="24"/>
    </x:row>
    <x:row r="43">
      <x:c r="A43" s="2" t="s">
        <x:v>59</x:v>
      </x:c>
      <x:c r="B43" s="3">
        <x:v>83</x:v>
      </x:c>
      <x:c r="C43" s="2" t="s">
        <x:v>222</x:v>
      </x:c>
      <x:c r="D43" s="2" t="s">
        <x:v>223</x:v>
      </x:c>
      <x:c r="E43" s="2" t="s">
        <x:v>79</x:v>
      </x:c>
      <x:c r="F43" s="2" t="s">
        <x:v>80</x:v>
      </x:c>
      <x:c r="G43" s="3">
        <x:v>5</x:v>
      </x:c>
      <x:c r="H43" s="3">
        <x:v>1</x:v>
      </x:c>
      <x:c r="I43" s="3">
        <x:v>30</x:v>
      </x:c>
      <x:c r="J43" s="4">
        <x:v>4.2735042735042729E-2</x:v>
      </x:c>
      <x:c r="K43" s="3">
        <x:v>0</x:v>
      </x:c>
      <x:c r="L43" s="2" t="s">
        <x:v>224</x:v>
      </x:c>
      <x:c r="M43" s="3">
        <x:v>492</x:v>
      </x:c>
      <x:c r="N43" s="3">
        <x:v>33</x:v>
      </x:c>
      <x:c r="O43" s="5">
        <x:v>65.250770383594855</x:v>
      </x:c>
      <x:c r="P43" s="5">
        <x:v>61.345055823449833</x:v>
      </x:c>
      <x:c r="Q43" s="5"/>
      <x:c r="R43" s="5">
        <x:v>88.566169359294278</x:v>
      </x:c>
      <x:c r="S43" s="5">
        <x:f t="shared" si="0"/>
        <x:v>17.761986289131517</x:v>
      </x:c>
      <x:c r="T43" s="5">
        <x:f t="shared" si="1"/>
        <x:v>17.761986289131517</x:v>
      </x:c>
      <x:c r="U43" s="5" t="e">
        <x:f>T43/[1]Model_Parameters!$B$22</x:f>
        <x:v>#NAME?</x:v>
      </x:c>
      <x:c r="V43" s="5">
        <x:v>349.97079967025149</x:v>
      </x:c>
      <x:c r="W43" s="5">
        <x:v>349.97079967025149</x:v>
      </x:c>
      <x:c r="X43" s="5">
        <x:v>94.484501864412948</x:v>
      </x:c>
      <x:c r="Y43" s="3">
        <x:v>0</x:v>
      </x:c>
      <x:c r="Z43" s="3">
        <x:v>0</x:v>
      </x:c>
      <x:c r="AA43" s="3"/>
      <x:c r="AB43" s="2"/>
      <x:c r="AC43" s="3"/>
      <x:c r="AD43" s="3"/>
      <x:c r="AE43" s="2" t="s">
        <x:v>65</x:v>
      </x:c>
      <x:c r="AF43" s="3">
        <x:v>9</x:v>
      </x:c>
      <x:c r="AG43" s="3">
        <x:v>0</x:v>
      </x:c>
      <x:c r="AH43" s="2" t="s">
        <x:v>224</x:v>
      </x:c>
      <x:c r="AI43" s="3">
        <x:v>33</x:v>
      </x:c>
      <x:c r="AJ43" s="3">
        <x:v>0</x:v>
      </x:c>
      <x:c r="AK43" s="2" t="s">
        <x:v>66</x:v>
      </x:c>
      <x:c r="AL43" s="3">
        <x:v>0</x:v>
      </x:c>
      <x:c r="AM43" s="2" t="s">
        <x:v>225</x:v>
      </x:c>
      <x:c r="AN43" s="3">
        <x:v>34</x:v>
      </x:c>
      <x:c r="AO43" s="3">
        <x:v>5</x:v>
      </x:c>
      <x:c r="AP43" s="3">
        <x:v>5</x:v>
      </x:c>
      <x:c r="AQ43" s="5">
        <x:v>18.798835722942481</x:v>
      </x:c>
      <x:c r="AR43" s="5">
        <x:v>17.761986289131521</x:v>
      </x:c>
      <x:c r="AS43" s="5">
        <x:f t="shared" si="2"/>
        <x:v>100.00000000000003</x:v>
      </x:c>
      <x:c r="AT43" s="5">
        <x:v>225.58602867530979</x:v>
      </x:c>
      <x:c r="AU43" s="5">
        <x:v>349.97079967025149</x:v>
      </x:c>
      <x:c r="AV43" s="5">
        <x:v>88.566169359294278</x:v>
      </x:c>
      <x:c r="AW43" s="2" t="b">
        <x:v>0</x:v>
      </x:c>
      <x:c r="AX43" s="2"/>
      <x:c r="AY43" s="2" t="s">
        <x:v>83</x:v>
      </x:c>
      <x:c r="AZ43" s="6">
        <x:v>33</x:v>
      </x:c>
      <x:c r="BA43" s="6"/>
      <x:c r="BB43" s="7"/>
      <x:c r="BC43" s="7"/>
      <x:c r="BD43" s="8"/>
      <x:c r="BE43" s="2" t="e">
        <x:f>IF(AE43="Blocked","No",IF(AJ43&lt;=[1]Model_Parameters!$B$20,"Yes","No"))</x:f>
        <x:v>#NAME?</x:v>
      </x:c>
      <x:c r="BF43" s="2" t="str">
        <x:f t="shared" si="3"/>
        <x:v>Yes</x:v>
      </x:c>
      <x:c r="BG43" s="2" t="str">
        <x:f t="shared" si="4"/>
        <x:v>Yes</x:v>
      </x:c>
      <x:c r="BH43" s="24" t="str">
        <x:v>06:00</x:v>
      </x:c>
      <x:c r="BI43" s="24" t="str">
        <x:v>12:30</x:v>
      </x:c>
    </x:row>
    <x:row r="44">
      <x:c r="A44" s="2" t="s">
        <x:v>59</x:v>
      </x:c>
      <x:c r="B44" s="3">
        <x:v>84</x:v>
      </x:c>
      <x:c r="C44" s="2" t="s">
        <x:v>226</x:v>
      </x:c>
      <x:c r="D44" s="2" t="s">
        <x:v>227</x:v>
      </x:c>
      <x:c r="E44" s="2" t="s">
        <x:v>62</x:v>
      </x:c>
      <x:c r="F44" s="2" t="s">
        <x:v>63</x:v>
      </x:c>
      <x:c r="G44" s="3">
        <x:v>38</x:v>
      </x:c>
      <x:c r="H44" s="3">
        <x:v>0</x:v>
      </x:c>
      <x:c r="I44" s="3">
        <x:v>120</x:v>
      </x:c>
      <x:c r="J44" s="4">
        <x:v>3.4883720930232558E-2</x:v>
      </x:c>
      <x:c r="K44" s="3">
        <x:v>0</x:v>
      </x:c>
      <x:c r="L44" s="2" t="s">
        <x:v>228</x:v>
      </x:c>
      <x:c r="M44" s="3">
        <x:v>494</x:v>
      </x:c>
      <x:c r="N44" s="3">
        <x:v>33</x:v>
      </x:c>
      <x:c r="O44" s="5">
        <x:v>85.703517028089038</x:v>
      </x:c>
      <x:c r="P44" s="5">
        <x:v>21.57679876660373</x:v>
      </x:c>
      <x:c r="Q44" s="5"/>
      <x:c r="R44" s="5">
        <x:v>92.598807107168412</x:v>
      </x:c>
      <x:c r="S44" s="5">
        <x:f t="shared" si="0"/>
        <x:v>60.868359011846671</x:v>
      </x:c>
      <x:c r="T44" s="5">
        <x:f t="shared" si="1"/>
        <x:v>60.868359011846671</x:v>
      </x:c>
      <x:c r="U44" s="5" t="e">
        <x:f>T44/[1]Model_Parameters!$B$22</x:f>
        <x:v>#NAME?</x:v>
      </x:c>
      <x:c r="V44" s="5">
        <x:v>369.02069346986571</x:v>
      </x:c>
      <x:c r="W44" s="5">
        <x:v>369.02069346986571</x:v>
      </x:c>
      <x:c r="X44" s="5">
        <x:v>92.661784824934003</x:v>
      </x:c>
      <x:c r="Y44" s="3">
        <x:v>1</x:v>
      </x:c>
      <x:c r="Z44" s="3">
        <x:v>0</x:v>
      </x:c>
      <x:c r="AA44" s="3"/>
      <x:c r="AB44" s="2"/>
      <x:c r="AC44" s="3"/>
      <x:c r="AD44" s="3"/>
      <x:c r="AE44" s="2" t="s">
        <x:v>65</x:v>
      </x:c>
      <x:c r="AF44" s="3">
        <x:v>10</x:v>
      </x:c>
      <x:c r="AG44" s="3">
        <x:v>0</x:v>
      </x:c>
      <x:c r="AH44" s="2" t="s">
        <x:v>228</x:v>
      </x:c>
      <x:c r="AI44" s="3">
        <x:v>33</x:v>
      </x:c>
      <x:c r="AJ44" s="3">
        <x:v>0</x:v>
      </x:c>
      <x:c r="AK44" s="2" t="s">
        <x:v>66</x:v>
      </x:c>
      <x:c r="AL44" s="3">
        <x:v>0</x:v>
      </x:c>
      <x:c r="AM44" s="2" t="s">
        <x:v>229</x:v>
      </x:c>
      <x:c r="AN44" s="3">
        <x:v>34</x:v>
      </x:c>
      <x:c r="AO44" s="3">
        <x:v>15</x:v>
      </x:c>
      <x:c r="AP44" s="3">
        <x:v>15</x:v>
      </x:c>
      <x:c r="AQ44" s="5">
        <x:v>65.688740106663502</x:v>
      </x:c>
      <x:c r="AR44" s="5">
        <x:v>60.868359011846643</x:v>
      </x:c>
      <x:c r="AS44" s="5">
        <x:f t="shared" si="2"/>
        <x:v>99.999999999999957</x:v>
      </x:c>
      <x:c r="AT44" s="5">
        <x:v>262.75496042665401</x:v>
      </x:c>
      <x:c r="AU44" s="5">
        <x:v>369.02069346986559</x:v>
      </x:c>
      <x:c r="AV44" s="5">
        <x:v>92.598807107168412</x:v>
      </x:c>
      <x:c r="AW44" s="2" t="b">
        <x:v>0</x:v>
      </x:c>
      <x:c r="AX44" s="2"/>
      <x:c r="AY44" s="2" t="s">
        <x:v>68</x:v>
      </x:c>
      <x:c r="AZ44" s="6">
        <x:v>33</x:v>
      </x:c>
      <x:c r="BA44" s="6"/>
      <x:c r="BB44" s="7"/>
      <x:c r="BC44" s="7"/>
      <x:c r="BD44" s="8"/>
      <x:c r="BE44" s="2" t="e">
        <x:f>IF(AE44="Blocked","No",IF(AJ44&lt;=[1]Model_Parameters!$B$20,"Yes","No"))</x:f>
        <x:v>#NAME?</x:v>
      </x:c>
      <x:c r="BF44" s="2" t="str">
        <x:f t="shared" si="3"/>
        <x:v>Yes</x:v>
      </x:c>
      <x:c r="BG44" s="2" t="str">
        <x:f t="shared" si="4"/>
        <x:v>Yes</x:v>
      </x:c>
      <x:c r="BH44" s="24"/>
      <x:c r="BI44" s="24"/>
    </x:row>
    <x:row r="45">
      <x:c r="A45" s="2" t="s">
        <x:v>59</x:v>
      </x:c>
      <x:c r="B45" s="3">
        <x:v>85</x:v>
      </x:c>
      <x:c r="C45" s="2" t="s">
        <x:v>230</x:v>
      </x:c>
      <x:c r="D45" s="2" t="s">
        <x:v>231</x:v>
      </x:c>
      <x:c r="E45" s="2" t="s">
        <x:v>62</x:v>
      </x:c>
      <x:c r="F45" s="2" t="s">
        <x:v>63</x:v>
      </x:c>
      <x:c r="G45" s="3">
        <x:v>39</x:v>
      </x:c>
      <x:c r="H45" s="3">
        <x:v>0</x:v>
      </x:c>
      <x:c r="I45" s="3">
        <x:v>120</x:v>
      </x:c>
      <x:c r="J45" s="4">
        <x:v>3.4883720930232558E-2</x:v>
      </x:c>
      <x:c r="K45" s="3">
        <x:v>0</x:v>
      </x:c>
      <x:c r="L45" s="2" t="s">
        <x:v>225</x:v>
      </x:c>
      <x:c r="M45" s="3">
        <x:v>497</x:v>
      </x:c>
      <x:c r="N45" s="3">
        <x:v>34</x:v>
      </x:c>
      <x:c r="O45" s="5">
        <x:v>53.285060120462049</x:v>
      </x:c>
      <x:c r="P45" s="5">
        <x:v>18.63220611212779</x:v>
      </x:c>
      <x:c r="Q45" s="5"/>
      <x:c r="R45" s="5">
        <x:v>82.170192025866669</x:v>
      </x:c>
      <x:c r="S45" s="5">
        <x:f t="shared" si="0"/>
        <x:v>33.856253993466474</x:v>
      </x:c>
      <x:c r="T45" s="5">
        <x:f t="shared" si="1"/>
        <x:v>33.856253993466474</x:v>
      </x:c>
      <x:c r="U45" s="5" t="e">
        <x:f>T45/[1]Model_Parameters!$B$22</x:f>
        <x:v>#NAME?</x:v>
      </x:c>
      <x:c r="V45" s="5">
        <x:v>441.28683299655529</x:v>
      </x:c>
      <x:c r="W45" s="5">
        <x:v>441.28683299655529</x:v>
      </x:c>
      <x:c r="X45" s="5">
        <x:v>90.985129670451485</x:v>
      </x:c>
      <x:c r="Y45" s="3">
        <x:v>1</x:v>
      </x:c>
      <x:c r="Z45" s="3">
        <x:v>0</x:v>
      </x:c>
      <x:c r="AA45" s="3"/>
      <x:c r="AB45" s="2"/>
      <x:c r="AC45" s="3"/>
      <x:c r="AD45" s="3"/>
      <x:c r="AE45" s="2" t="s">
        <x:v>65</x:v>
      </x:c>
      <x:c r="AF45" s="3">
        <x:v>1</x:v>
      </x:c>
      <x:c r="AG45" s="3">
        <x:v>0</x:v>
      </x:c>
      <x:c r="AH45" s="2" t="s">
        <x:v>225</x:v>
      </x:c>
      <x:c r="AI45" s="3">
        <x:v>34</x:v>
      </x:c>
      <x:c r="AJ45" s="3">
        <x:v>0</x:v>
      </x:c>
      <x:c r="AK45" s="2" t="s">
        <x:v>66</x:v>
      </x:c>
      <x:c r="AL45" s="3">
        <x:v>0</x:v>
      </x:c>
      <x:c r="AM45" s="2" t="s">
        <x:v>232</x:v>
      </x:c>
      <x:c r="AN45" s="3">
        <x:v>34</x:v>
      </x:c>
      <x:c r="AO45" s="3">
        <x:v>6</x:v>
      </x:c>
      <x:c r="AP45" s="3">
        <x:v>6</x:v>
      </x:c>
      <x:c r="AQ45" s="5">
        <x:v>37.210755335617989</x:v>
      </x:c>
      <x:c r="AR45" s="5">
        <x:v>33.856253993466467</x:v>
      </x:c>
      <x:c r="AS45" s="5">
        <x:f t="shared" si="2"/>
        <x:v>99.999999999999972</x:v>
      </x:c>
      <x:c r="AT45" s="5">
        <x:v>372.10755335617989</x:v>
      </x:c>
      <x:c r="AU45" s="5">
        <x:v>441.28683299655529</x:v>
      </x:c>
      <x:c r="AV45" s="5">
        <x:v>82.170192025866669</x:v>
      </x:c>
      <x:c r="AW45" s="2" t="b">
        <x:v>0</x:v>
      </x:c>
      <x:c r="AX45" s="2"/>
      <x:c r="AY45" s="2" t="s">
        <x:v>68</x:v>
      </x:c>
      <x:c r="AZ45" s="6">
        <x:v>34</x:v>
      </x:c>
      <x:c r="BA45" s="6"/>
      <x:c r="BB45" s="7"/>
      <x:c r="BC45" s="7"/>
      <x:c r="BD45" s="8"/>
      <x:c r="BE45" s="2" t="e">
        <x:f>IF(AE45="Blocked","No",IF(AJ45&lt;=[1]Model_Parameters!$B$20,"Yes","No"))</x:f>
        <x:v>#NAME?</x:v>
      </x:c>
      <x:c r="BF45" s="2" t="str">
        <x:f t="shared" si="3"/>
        <x:v>Yes</x:v>
      </x:c>
      <x:c r="BG45" s="2" t="str">
        <x:f t="shared" si="4"/>
        <x:v>Yes</x:v>
      </x:c>
      <x:c r="BH45" s="24"/>
      <x:c r="BI45" s="24"/>
    </x:row>
    <x:row r="46">
      <x:c r="A46" s="2" t="s">
        <x:v>59</x:v>
      </x:c>
      <x:c r="B46" s="3">
        <x:v>88</x:v>
      </x:c>
      <x:c r="C46" s="2" t="s">
        <x:v>233</x:v>
      </x:c>
      <x:c r="D46" s="2" t="s">
        <x:v>234</x:v>
      </x:c>
      <x:c r="E46" s="2" t="s">
        <x:v>62</x:v>
      </x:c>
      <x:c r="F46" s="2" t="s">
        <x:v>63</x:v>
      </x:c>
      <x:c r="G46" s="3">
        <x:v>40</x:v>
      </x:c>
      <x:c r="H46" s="3">
        <x:v>0</x:v>
      </x:c>
      <x:c r="I46" s="3">
        <x:v>120</x:v>
      </x:c>
      <x:c r="J46" s="4">
        <x:v>2.3255813953488368E-2</x:v>
      </x:c>
      <x:c r="K46" s="3">
        <x:v>0</x:v>
      </x:c>
      <x:c r="L46" s="2" t="s">
        <x:v>235</x:v>
      </x:c>
      <x:c r="M46" s="3">
        <x:v>542</x:v>
      </x:c>
      <x:c r="N46" s="3">
        <x:v>37</x:v>
      </x:c>
      <x:c r="O46" s="5">
        <x:v>94.447310214205615</x:v>
      </x:c>
      <x:c r="P46" s="5">
        <x:v>25.231419338738011</x:v>
      </x:c>
      <x:c r="Q46" s="5"/>
      <x:c r="R46" s="5">
        <x:v>87.576981276502138</x:v>
      </x:c>
      <x:c r="S46" s="5">
        <x:f t="shared" si="0"/>
        <x:v>58.883706288149789</x:v>
      </x:c>
      <x:c r="T46" s="5">
        <x:f t="shared" si="1"/>
        <x:v>58.883706288149789</x:v>
      </x:c>
      <x:c r="U46" s="5" t="e">
        <x:f>T46/[1]Model_Parameters!$B$22</x:f>
        <x:v>#NAME?</x:v>
      </x:c>
      <x:c r="V46" s="5">
        <x:v>225.1983947024822</x:v>
      </x:c>
      <x:c r="W46" s="5">
        <x:v>225.1983947024822</x:v>
      </x:c>
      <x:c r="X46" s="5">
        <x:v>91.276571011000286</x:v>
      </x:c>
      <x:c r="Y46" s="3">
        <x:v>1</x:v>
      </x:c>
      <x:c r="Z46" s="3">
        <x:v>0</x:v>
      </x:c>
      <x:c r="AA46" s="3"/>
      <x:c r="AB46" s="2"/>
      <x:c r="AC46" s="3"/>
      <x:c r="AD46" s="3"/>
      <x:c r="AE46" s="2" t="s">
        <x:v>65</x:v>
      </x:c>
      <x:c r="AF46" s="3">
        <x:v>4</x:v>
      </x:c>
      <x:c r="AG46" s="3">
        <x:v>0</x:v>
      </x:c>
      <x:c r="AH46" s="2" t="s">
        <x:v>235</x:v>
      </x:c>
      <x:c r="AI46" s="3">
        <x:v>37</x:v>
      </x:c>
      <x:c r="AJ46" s="3">
        <x:v>0</x:v>
      </x:c>
      <x:c r="AK46" s="2" t="s">
        <x:v>66</x:v>
      </x:c>
      <x:c r="AL46" s="3">
        <x:v>0</x:v>
      </x:c>
      <x:c r="AM46" s="2" t="s">
        <x:v>236</x:v>
      </x:c>
      <x:c r="AN46" s="3">
        <x:v>38</x:v>
      </x:c>
      <x:c r="AO46" s="3">
        <x:v>21</x:v>
      </x:c>
      <x:c r="AP46" s="3">
        <x:v>21</x:v>
      </x:c>
      <x:c r="AQ46" s="5">
        <x:v>64.511304090349043</x:v>
      </x:c>
      <x:c r="AR46" s="5">
        <x:v>58.883706288149767</x:v>
      </x:c>
      <x:c r="AS46" s="5">
        <x:f t="shared" si="2"/>
        <x:v>99.999999999999972</x:v>
      </x:c>
      <x:c r="AT46" s="5">
        <x:v>184.3180116867116</x:v>
      </x:c>
      <x:c r="AU46" s="5">
        <x:v>225.19839470248229</x:v>
      </x:c>
      <x:c r="AV46" s="5">
        <x:v>87.576981276502138</x:v>
      </x:c>
      <x:c r="AW46" s="2" t="b">
        <x:v>0</x:v>
      </x:c>
      <x:c r="AX46" s="2"/>
      <x:c r="AY46" s="2" t="s">
        <x:v>68</x:v>
      </x:c>
      <x:c r="AZ46" s="6">
        <x:v>37</x:v>
      </x:c>
      <x:c r="BA46" s="6"/>
      <x:c r="BB46" s="7"/>
      <x:c r="BC46" s="7"/>
      <x:c r="BD46" s="8"/>
      <x:c r="BE46" s="2" t="e">
        <x:f>IF(AE46="Blocked","No",IF(AJ46&lt;=[1]Model_Parameters!$B$20,"Yes","No"))</x:f>
        <x:v>#NAME?</x:v>
      </x:c>
      <x:c r="BF46" s="2" t="str">
        <x:f t="shared" si="3"/>
        <x:v>Yes</x:v>
      </x:c>
      <x:c r="BG46" s="2" t="str">
        <x:f t="shared" si="4"/>
        <x:v>Yes</x:v>
      </x:c>
      <x:c r="BH46" s="24"/>
      <x:c r="BI46" s="24"/>
    </x:row>
    <x:row r="47">
      <x:c r="A47" s="2" t="s">
        <x:v>59</x:v>
      </x:c>
      <x:c r="B47" s="3">
        <x:v>89</x:v>
      </x:c>
      <x:c r="C47" s="2" t="s">
        <x:v>237</x:v>
      </x:c>
      <x:c r="D47" s="2" t="s">
        <x:v>238</x:v>
      </x:c>
      <x:c r="E47" s="2" t="s">
        <x:v>62</x:v>
      </x:c>
      <x:c r="F47" s="2" t="s">
        <x:v>63</x:v>
      </x:c>
      <x:c r="G47" s="3">
        <x:v>41</x:v>
      </x:c>
      <x:c r="H47" s="3">
        <x:v>0</x:v>
      </x:c>
      <x:c r="I47" s="3">
        <x:v>120</x:v>
      </x:c>
      <x:c r="J47" s="4">
        <x:v>2.3255813953488368E-2</x:v>
      </x:c>
      <x:c r="K47" s="3">
        <x:v>0</x:v>
      </x:c>
      <x:c r="L47" s="2" t="s">
        <x:v>239</x:v>
      </x:c>
      <x:c r="M47" s="3">
        <x:v>543</x:v>
      </x:c>
      <x:c r="N47" s="3">
        <x:v>37</x:v>
      </x:c>
      <x:c r="O47" s="5">
        <x:v>111.3670918601661</x:v>
      </x:c>
      <x:c r="P47" s="5">
        <x:v>25.5259680642571</x:v>
      </x:c>
      <x:c r="Q47" s="5"/>
      <x:c r="R47" s="5">
        <x:v>97.449946491852543</x:v>
      </x:c>
      <x:c r="S47" s="5">
        <x:f t="shared" si="0"/>
        <x:v>80.099643124946269</x:v>
      </x:c>
      <x:c r="T47" s="5">
        <x:f t="shared" si="1"/>
        <x:v>80.099643124946269</x:v>
      </x:c>
      <x:c r="U47" s="5" t="e">
        <x:f>T47/[1]Model_Parameters!$B$22</x:f>
        <x:v>#NAME?</x:v>
      </x:c>
      <x:c r="V47" s="5">
        <x:v>360.31299947407717</x:v>
      </x:c>
      <x:c r="W47" s="5">
        <x:v>360.31299947407717</x:v>
      </x:c>
      <x:c r="X47" s="5">
        <x:v>94.832185597507888</x:v>
      </x:c>
      <x:c r="Y47" s="3">
        <x:v>2</x:v>
      </x:c>
      <x:c r="Z47" s="3">
        <x:v>0</x:v>
      </x:c>
      <x:c r="AA47" s="3"/>
      <x:c r="AB47" s="2"/>
      <x:c r="AC47" s="3"/>
      <x:c r="AD47" s="3"/>
      <x:c r="AE47" s="2" t="s">
        <x:v>65</x:v>
      </x:c>
      <x:c r="AF47" s="3">
        <x:v>5</x:v>
      </x:c>
      <x:c r="AG47" s="3">
        <x:v>0</x:v>
      </x:c>
      <x:c r="AH47" s="2" t="s">
        <x:v>239</x:v>
      </x:c>
      <x:c r="AI47" s="3">
        <x:v>37</x:v>
      </x:c>
      <x:c r="AJ47" s="3">
        <x:v>0</x:v>
      </x:c>
      <x:c r="AK47" s="2" t="s">
        <x:v>66</x:v>
      </x:c>
      <x:c r="AL47" s="3">
        <x:v>0</x:v>
      </x:c>
      <x:c r="AM47" s="2" t="s">
        <x:v>240</x:v>
      </x:c>
      <x:c r="AN47" s="3">
        <x:v>38</x:v>
      </x:c>
      <x:c r="AO47" s="3">
        <x:v>24</x:v>
      </x:c>
      <x:c r="AP47" s="3">
        <x:v>24</x:v>
      </x:c>
      <x:c r="AQ47" s="5">
        <x:v>84.464617809094548</x:v>
      </x:c>
      <x:c r="AR47" s="5">
        <x:v>80.099643124946269</x:v>
      </x:c>
      <x:c r="AS47" s="5">
        <x:f t="shared" si="2"/>
        <x:v>100</x:v>
      </x:c>
      <x:c r="AT47" s="5">
        <x:v>211.16154452273639</x:v>
      </x:c>
      <x:c r="AU47" s="5">
        <x:v>360.31299947407717</x:v>
      </x:c>
      <x:c r="AV47" s="5">
        <x:v>97.449946491852543</x:v>
      </x:c>
      <x:c r="AW47" s="2" t="b">
        <x:v>0</x:v>
      </x:c>
      <x:c r="AX47" s="2"/>
      <x:c r="AY47" s="2" t="s">
        <x:v>68</x:v>
      </x:c>
      <x:c r="AZ47" s="6">
        <x:v>37</x:v>
      </x:c>
      <x:c r="BA47" s="6"/>
      <x:c r="BB47" s="7"/>
      <x:c r="BC47" s="7"/>
      <x:c r="BD47" s="8"/>
      <x:c r="BE47" s="2" t="e">
        <x:f>IF(AE47="Blocked","No",IF(AJ47&lt;=[1]Model_Parameters!$B$20,"Yes","No"))</x:f>
        <x:v>#NAME?</x:v>
      </x:c>
      <x:c r="BF47" s="2" t="str">
        <x:f t="shared" si="3"/>
        <x:v>Yes</x:v>
      </x:c>
      <x:c r="BG47" s="2" t="str">
        <x:f t="shared" si="4"/>
        <x:v>Yes</x:v>
      </x:c>
      <x:c r="BH47" s="24"/>
      <x:c r="BI47" s="24"/>
    </x:row>
    <x:row r="48">
      <x:c r="A48" s="2" t="s">
        <x:v>59</x:v>
      </x:c>
      <x:c r="B48" s="3">
        <x:v>90</x:v>
      </x:c>
      <x:c r="C48" s="2" t="s">
        <x:v>241</x:v>
      </x:c>
      <x:c r="D48" s="2" t="s">
        <x:v>242</x:v>
      </x:c>
      <x:c r="E48" s="2" t="s">
        <x:v>79</x:v>
      </x:c>
      <x:c r="F48" s="2" t="s">
        <x:v>80</x:v>
      </x:c>
      <x:c r="G48" s="3">
        <x:v>6</x:v>
      </x:c>
      <x:c r="H48" s="3">
        <x:v>1</x:v>
      </x:c>
      <x:c r="I48" s="3">
        <x:v>30</x:v>
      </x:c>
      <x:c r="J48" s="4">
        <x:v>3.6630036630036618E-2</x:v>
      </x:c>
      <x:c r="K48" s="3">
        <x:v>0</x:v>
      </x:c>
      <x:c r="L48" s="2" t="s">
        <x:v>243</x:v>
      </x:c>
      <x:c r="M48" s="3">
        <x:v>545</x:v>
      </x:c>
      <x:c r="N48" s="3">
        <x:v>37</x:v>
      </x:c>
      <x:c r="O48" s="5">
        <x:v>91.197896015828178</x:v>
      </x:c>
      <x:c r="P48" s="5">
        <x:v>33.498627814451488</x:v>
      </x:c>
      <x:c r="Q48" s="5"/>
      <x:c r="R48" s="5">
        <x:v>93.244295347013463</x:v>
      </x:c>
      <x:c r="S48" s="5">
        <x:f t="shared" si="0"/>
        <x:v>54.486791750308285</x:v>
      </x:c>
      <x:c r="T48" s="5">
        <x:f t="shared" si="1"/>
        <x:v>54.486791750308285</x:v>
      </x:c>
      <x:c r="U48" s="5" t="e">
        <x:f>T48/[1]Model_Parameters!$B$22</x:f>
        <x:v>#NAME?</x:v>
      </x:c>
      <x:c r="V48" s="5">
        <x:v>187.5281502980084</x:v>
      </x:c>
      <x:c r="W48" s="5">
        <x:v>187.5281502980084</x:v>
      </x:c>
      <x:c r="X48" s="5">
        <x:v>94.622869389294024</x:v>
      </x:c>
      <x:c r="Y48" s="3">
        <x:v>3</x:v>
      </x:c>
      <x:c r="Z48" s="3">
        <x:v>0</x:v>
      </x:c>
      <x:c r="AA48" s="3"/>
      <x:c r="AB48" s="2"/>
      <x:c r="AC48" s="3"/>
      <x:c r="AD48" s="3"/>
      <x:c r="AE48" s="2" t="s">
        <x:v>65</x:v>
      </x:c>
      <x:c r="AF48" s="3">
        <x:v>6</x:v>
      </x:c>
      <x:c r="AG48" s="3">
        <x:v>0</x:v>
      </x:c>
      <x:c r="AH48" s="2" t="s">
        <x:v>243</x:v>
      </x:c>
      <x:c r="AI48" s="3">
        <x:v>37</x:v>
      </x:c>
      <x:c r="AJ48" s="3">
        <x:v>0</x:v>
      </x:c>
      <x:c r="AK48" s="2" t="s">
        <x:v>66</x:v>
      </x:c>
      <x:c r="AL48" s="3">
        <x:v>0</x:v>
      </x:c>
      <x:c r="AM48" s="2" t="s">
        <x:v>244</x:v>
      </x:c>
      <x:c r="AN48" s="3">
        <x:v>39</x:v>
      </x:c>
      <x:c r="AO48" s="3">
        <x:v>28</x:v>
      </x:c>
      <x:c r="AP48" s="3">
        <x:v>28</x:v>
      </x:c>
      <x:c r="AQ48" s="5">
        <x:v>57.583110829307778</x:v>
      </x:c>
      <x:c r="AR48" s="5">
        <x:v>54.486791750308292</x:v>
      </x:c>
      <x:c r="AS48" s="5">
        <x:f t="shared" si="2"/>
        <x:v>100.00000000000003</x:v>
      </x:c>
      <x:c r="AT48" s="5">
        <x:v>123.3923803485167</x:v>
      </x:c>
      <x:c r="AU48" s="5">
        <x:v>187.52815029800851</x:v>
      </x:c>
      <x:c r="AV48" s="5">
        <x:v>93.244295347013463</x:v>
      </x:c>
      <x:c r="AW48" s="2" t="b">
        <x:v>0</x:v>
      </x:c>
      <x:c r="AX48" s="2"/>
      <x:c r="AY48" s="2" t="s">
        <x:v>83</x:v>
      </x:c>
      <x:c r="AZ48" s="6">
        <x:v>37</x:v>
      </x:c>
      <x:c r="BA48" s="6"/>
      <x:c r="BB48" s="7"/>
      <x:c r="BC48" s="7"/>
      <x:c r="BD48" s="8"/>
      <x:c r="BE48" s="2" t="e">
        <x:f>IF(AE48="Blocked","No",IF(AJ48&lt;=[1]Model_Parameters!$B$20,"Yes","No"))</x:f>
        <x:v>#NAME?</x:v>
      </x:c>
      <x:c r="BF48" s="2" t="str">
        <x:f t="shared" si="3"/>
        <x:v>Yes</x:v>
      </x:c>
      <x:c r="BG48" s="2" t="str">
        <x:f t="shared" si="4"/>
        <x:v>Yes</x:v>
      </x:c>
      <x:c r="BH48" s="24" t="str">
        <x:v>07:00</x:v>
      </x:c>
      <x:c r="BI48" s="24" t="str">
        <x:v>13:45</x:v>
      </x:c>
    </x:row>
    <x:row r="49">
      <x:c r="A49" s="2" t="s">
        <x:v>59</x:v>
      </x:c>
      <x:c r="B49" s="3">
        <x:v>91</x:v>
      </x:c>
      <x:c r="C49" s="2" t="s">
        <x:v>245</x:v>
      </x:c>
      <x:c r="D49" s="2" t="s">
        <x:v>246</x:v>
      </x:c>
      <x:c r="E49" s="2" t="s">
        <x:v>62</x:v>
      </x:c>
      <x:c r="F49" s="2" t="s">
        <x:v>63</x:v>
      </x:c>
      <x:c r="G49" s="3">
        <x:v>42</x:v>
      </x:c>
      <x:c r="H49" s="3">
        <x:v>0</x:v>
      </x:c>
      <x:c r="I49" s="3">
        <x:v>120</x:v>
      </x:c>
      <x:c r="J49" s="4">
        <x:v>2.3255813953488368E-2</x:v>
      </x:c>
      <x:c r="K49" s="3">
        <x:v>0</x:v>
      </x:c>
      <x:c r="L49" s="2" t="s">
        <x:v>247</x:v>
      </x:c>
      <x:c r="M49" s="3">
        <x:v>546</x:v>
      </x:c>
      <x:c r="N49" s="3">
        <x:v>37</x:v>
      </x:c>
      <x:c r="O49" s="5">
        <x:v>89.055987930609334</x:v>
      </x:c>
      <x:c r="P49" s="5">
        <x:v>34.513369846336367</x:v>
      </x:c>
      <x:c r="Q49" s="5"/>
      <x:c r="R49" s="5">
        <x:v>52.2965538677323</x:v>
      </x:c>
      <x:c r="S49" s="5">
        <x:f t="shared" si="0"/>
        <x:v>15.83699021577241</x:v>
      </x:c>
      <x:c r="T49" s="5">
        <x:f t="shared" si="1"/>
        <x:v>15.83699021577241</x:v>
      </x:c>
      <x:c r="U49" s="5" t="e">
        <x:f>T49/[1]Model_Parameters!$B$22</x:f>
        <x:v>#NAME?</x:v>
      </x:c>
      <x:c r="V49" s="5">
        <x:v>409.33505985188771</x:v>
      </x:c>
      <x:c r="W49" s="5">
        <x:v>409.33505985188771</x:v>
      </x:c>
      <x:c r="X49" s="5">
        <x:v>90.894631056107741</x:v>
      </x:c>
      <x:c r="Y49" s="3">
        <x:v>4</x:v>
      </x:c>
      <x:c r="Z49" s="3">
        <x:v>0</x:v>
      </x:c>
      <x:c r="AA49" s="3"/>
      <x:c r="AB49" s="2"/>
      <x:c r="AC49" s="3"/>
      <x:c r="AD49" s="3"/>
      <x:c r="AE49" s="2" t="s">
        <x:v>65</x:v>
      </x:c>
      <x:c r="AF49" s="3">
        <x:v>7</x:v>
      </x:c>
      <x:c r="AG49" s="3">
        <x:v>0</x:v>
      </x:c>
      <x:c r="AH49" s="2" t="s">
        <x:v>247</x:v>
      </x:c>
      <x:c r="AI49" s="3">
        <x:v>37</x:v>
      </x:c>
      <x:c r="AJ49" s="3">
        <x:v>0</x:v>
      </x:c>
      <x:c r="AK49" s="2" t="s">
        <x:v>66</x:v>
      </x:c>
      <x:c r="AL49" s="3">
        <x:v>0</x:v>
      </x:c>
      <x:c r="AM49" s="2" t="s">
        <x:v>248</x:v>
      </x:c>
      <x:c r="AN49" s="3">
        <x:v>37</x:v>
      </x:c>
      <x:c r="AO49" s="3">
        <x:v>3</x:v>
      </x:c>
      <x:c r="AP49" s="3">
        <x:v>3</x:v>
      </x:c>
      <x:c r="AQ49" s="5">
        <x:v>17.423460584813309</x:v>
      </x:c>
      <x:c r="AR49" s="5">
        <x:v>15.83699021577241</x:v>
      </x:c>
      <x:c r="AS49" s="5">
        <x:f t="shared" si="2"/>
        <x:v>100</x:v>
      </x:c>
      <x:c r="AT49" s="5">
        <x:v>348.46921169626609</x:v>
      </x:c>
      <x:c r="AU49" s="5">
        <x:v>409.33505985188771</x:v>
      </x:c>
      <x:c r="AV49" s="5">
        <x:v>52.2965538677323</x:v>
      </x:c>
      <x:c r="AW49" s="2" t="b">
        <x:v>0</x:v>
      </x:c>
      <x:c r="AX49" s="2"/>
      <x:c r="AY49" s="2" t="s">
        <x:v>68</x:v>
      </x:c>
      <x:c r="AZ49" s="6">
        <x:v>37</x:v>
      </x:c>
      <x:c r="BA49" s="6"/>
      <x:c r="BB49" s="7"/>
      <x:c r="BC49" s="7"/>
      <x:c r="BD49" s="8"/>
      <x:c r="BE49" s="2" t="e">
        <x:f>IF(AE49="Blocked","No",IF(AJ49&lt;=[1]Model_Parameters!$B$20,"Yes","No"))</x:f>
        <x:v>#NAME?</x:v>
      </x:c>
      <x:c r="BF49" s="2" t="str">
        <x:f t="shared" si="3"/>
        <x:v>Yes</x:v>
      </x:c>
      <x:c r="BG49" s="2" t="str">
        <x:f t="shared" si="4"/>
        <x:v>Yes</x:v>
      </x:c>
      <x:c r="BH49" s="24"/>
      <x:c r="BI49" s="24"/>
    </x:row>
    <x:row r="50">
      <x:c r="A50" s="2" t="s">
        <x:v>59</x:v>
      </x:c>
      <x:c r="B50" s="3">
        <x:v>92</x:v>
      </x:c>
      <x:c r="C50" s="2" t="s">
        <x:v>249</x:v>
      </x:c>
      <x:c r="D50" s="2" t="s">
        <x:v>250</x:v>
      </x:c>
      <x:c r="E50" s="2" t="s">
        <x:v>62</x:v>
      </x:c>
      <x:c r="F50" s="2" t="s">
        <x:v>63</x:v>
      </x:c>
      <x:c r="G50" s="3">
        <x:v>43</x:v>
      </x:c>
      <x:c r="H50" s="3">
        <x:v>0</x:v>
      </x:c>
      <x:c r="I50" s="3">
        <x:v>120</x:v>
      </x:c>
      <x:c r="J50" s="4">
        <x:v>2.3255813953488368E-2</x:v>
      </x:c>
      <x:c r="K50" s="3">
        <x:v>0</x:v>
      </x:c>
      <x:c r="L50" s="2" t="s">
        <x:v>251</x:v>
      </x:c>
      <x:c r="M50" s="3">
        <x:v>556</x:v>
      </x:c>
      <x:c r="N50" s="3">
        <x:v>38</x:v>
      </x:c>
      <x:c r="O50" s="5">
        <x:v>117.4690019202371</x:v>
      </x:c>
      <x:c r="P50" s="5">
        <x:v>12.86808954197314</x:v>
      </x:c>
      <x:c r="Q50" s="5"/>
      <x:c r="R50" s="5">
        <x:v>83.326945423094884</x:v>
      </x:c>
      <x:c r="S50" s="5">
        <x:f t="shared" si="0"/>
        <x:v>82.767314767971996</x:v>
      </x:c>
      <x:c r="T50" s="5">
        <x:f t="shared" si="1"/>
        <x:v>82.767314767971996</x:v>
      </x:c>
      <x:c r="U50" s="5" t="e">
        <x:f>T50/[1]Model_Parameters!$B$22</x:f>
        <x:v>#NAME?</x:v>
      </x:c>
      <x:c r="V50" s="5">
        <x:v>151.37041615778529</x:v>
      </x:c>
      <x:c r="W50" s="5">
        <x:v>151.37041615778529</x:v>
      </x:c>
      <x:c r="X50" s="5">
        <x:v>90.448691080384222</x:v>
      </x:c>
      <x:c r="Y50" s="3">
        <x:v>3</x:v>
      </x:c>
      <x:c r="Z50" s="3">
        <x:v>0</x:v>
      </x:c>
      <x:c r="AA50" s="3"/>
      <x:c r="AB50" s="2"/>
      <x:c r="AC50" s="3"/>
      <x:c r="AD50" s="3"/>
      <x:c r="AE50" s="2" t="s">
        <x:v>65</x:v>
      </x:c>
      <x:c r="AF50" s="3">
        <x:v>8</x:v>
      </x:c>
      <x:c r="AG50" s="3">
        <x:v>0</x:v>
      </x:c>
      <x:c r="AH50" s="2" t="s">
        <x:v>251</x:v>
      </x:c>
      <x:c r="AI50" s="3">
        <x:v>38</x:v>
      </x:c>
      <x:c r="AJ50" s="3">
        <x:v>0</x:v>
      </x:c>
      <x:c r="AK50" s="2" t="s">
        <x:v>66</x:v>
      </x:c>
      <x:c r="AL50" s="3">
        <x:v>0</x:v>
      </x:c>
      <x:c r="AM50" s="2" t="s">
        <x:v>252</x:v>
      </x:c>
      <x:c r="AN50" s="3">
        <x:v>40</x:v>
      </x:c>
      <x:c r="AO50" s="3">
        <x:v>41</x:v>
      </x:c>
      <x:c r="AP50" s="3">
        <x:v>41</x:v>
      </x:c>
      <x:c r="AQ50" s="5">
        <x:v>91.507476536520016</x:v>
      </x:c>
      <x:c r="AR50" s="5">
        <x:v>82.767314767971982</x:v>
      </x:c>
      <x:c r="AS50" s="5">
        <x:f t="shared" si="2"/>
        <x:v>99.999999999999972</x:v>
      </x:c>
      <x:c r="AT50" s="5">
        <x:v>133.91338029734641</x:v>
      </x:c>
      <x:c r="AU50" s="5">
        <x:v>151.37041615778529</x:v>
      </x:c>
      <x:c r="AV50" s="5">
        <x:v>83.326945423094884</x:v>
      </x:c>
      <x:c r="AW50" s="2" t="b">
        <x:v>0</x:v>
      </x:c>
      <x:c r="AX50" s="2"/>
      <x:c r="AY50" s="2" t="s">
        <x:v>68</x:v>
      </x:c>
      <x:c r="AZ50" s="6">
        <x:v>38</x:v>
      </x:c>
      <x:c r="BA50" s="6"/>
      <x:c r="BB50" s="7"/>
      <x:c r="BC50" s="7"/>
      <x:c r="BD50" s="8"/>
      <x:c r="BE50" s="2" t="e">
        <x:f>IF(AE50="Blocked","No",IF(AJ50&lt;=[1]Model_Parameters!$B$20,"Yes","No"))</x:f>
        <x:v>#NAME?</x:v>
      </x:c>
      <x:c r="BF50" s="2" t="str">
        <x:f t="shared" si="3"/>
        <x:v>Yes</x:v>
      </x:c>
      <x:c r="BG50" s="2" t="str">
        <x:f t="shared" si="4"/>
        <x:v>Yes</x:v>
      </x:c>
      <x:c r="BH50" s="24"/>
      <x:c r="BI50" s="24"/>
    </x:row>
    <x:row r="51">
      <x:c r="A51" s="2" t="s">
        <x:v>59</x:v>
      </x:c>
      <x:c r="B51" s="3">
        <x:v>94</x:v>
      </x:c>
      <x:c r="C51" s="2" t="s">
        <x:v>253</x:v>
      </x:c>
      <x:c r="D51" s="2" t="s">
        <x:v>254</x:v>
      </x:c>
      <x:c r="E51" s="2" t="s">
        <x:v>62</x:v>
      </x:c>
      <x:c r="F51" s="2" t="s">
        <x:v>63</x:v>
      </x:c>
      <x:c r="G51" s="3">
        <x:v>44</x:v>
      </x:c>
      <x:c r="H51" s="3">
        <x:v>0</x:v>
      </x:c>
      <x:c r="I51" s="3">
        <x:v>120</x:v>
      </x:c>
      <x:c r="J51" s="4">
        <x:v>2.3255813953488368E-2</x:v>
      </x:c>
      <x:c r="K51" s="3">
        <x:v>0</x:v>
      </x:c>
      <x:c r="L51" s="2" t="s">
        <x:v>255</x:v>
      </x:c>
      <x:c r="M51" s="3">
        <x:v>565</x:v>
      </x:c>
      <x:c r="N51" s="3">
        <x:v>38</x:v>
      </x:c>
      <x:c r="O51" s="5">
        <x:v>112.44650300684469</x:v>
      </x:c>
      <x:c r="P51" s="5">
        <x:v>18.892091736336191</x:v>
      </x:c>
      <x:c r="Q51" s="5"/>
      <x:c r="R51" s="5">
        <x:v>99.684608296919805</x:v>
      </x:c>
      <x:c r="S51" s="5">
        <x:f t="shared" si="0"/>
        <x:v>90.848359563602131</x:v>
      </x:c>
      <x:c r="T51" s="5">
        <x:f t="shared" si="1"/>
        <x:v>90.848359563602131</x:v>
      </x:c>
      <x:c r="U51" s="5" t="e">
        <x:f>T51/[1]Model_Parameters!$B$22</x:f>
        <x:v>#NAME?</x:v>
      </x:c>
      <x:c r="V51" s="5">
        <x:v>418.02156335016122</x:v>
      </x:c>
      <x:c r="W51" s="5">
        <x:v>418.02156335016122</x:v>
      </x:c>
      <x:c r="X51" s="5">
        <x:v>93.032676047235739</x:v>
      </x:c>
      <x:c r="Y51" s="3">
        <x:v>4</x:v>
      </x:c>
      <x:c r="Z51" s="3">
        <x:v>0</x:v>
      </x:c>
      <x:c r="AA51" s="3"/>
      <x:c r="AB51" s="2"/>
      <x:c r="AC51" s="3"/>
      <x:c r="AD51" s="3"/>
      <x:c r="AE51" s="2" t="s">
        <x:v>65</x:v>
      </x:c>
      <x:c r="AF51" s="3">
        <x:v>10</x:v>
      </x:c>
      <x:c r="AG51" s="3">
        <x:v>0</x:v>
      </x:c>
      <x:c r="AH51" s="2" t="s">
        <x:v>255</x:v>
      </x:c>
      <x:c r="AI51" s="3">
        <x:v>38</x:v>
      </x:c>
      <x:c r="AJ51" s="3">
        <x:v>0</x:v>
      </x:c>
      <x:c r="AK51" s="2" t="s">
        <x:v>66</x:v>
      </x:c>
      <x:c r="AL51" s="3">
        <x:v>0</x:v>
      </x:c>
      <x:c r="AM51" s="2" t="s">
        <x:v>256</x:v>
      </x:c>
      <x:c r="AN51" s="3">
        <x:v>40</x:v>
      </x:c>
      <x:c r="AO51" s="3">
        <x:v>24</x:v>
      </x:c>
      <x:c r="AP51" s="3">
        <x:v>24</x:v>
      </x:c>
      <x:c r="AQ51" s="5">
        <x:v>97.65209754632383</x:v>
      </x:c>
      <x:c r="AR51" s="5">
        <x:v>90.848359563602102</x:v>
      </x:c>
      <x:c r="AS51" s="5">
        <x:f t="shared" si="2"/>
        <x:v>99.999999999999972</x:v>
      </x:c>
      <x:c r="AT51" s="5">
        <x:v>244.1302438658096</x:v>
      </x:c>
      <x:c r="AU51" s="5">
        <x:v>418.02156335016122</x:v>
      </x:c>
      <x:c r="AV51" s="5">
        <x:v>99.684608296919805</x:v>
      </x:c>
      <x:c r="AW51" s="2" t="b">
        <x:v>0</x:v>
      </x:c>
      <x:c r="AX51" s="2"/>
      <x:c r="AY51" s="2" t="s">
        <x:v>68</x:v>
      </x:c>
      <x:c r="AZ51" s="6">
        <x:v>38</x:v>
      </x:c>
      <x:c r="BA51" s="6"/>
      <x:c r="BB51" s="7"/>
      <x:c r="BC51" s="7"/>
      <x:c r="BD51" s="8"/>
      <x:c r="BE51" s="2" t="e">
        <x:f>IF(AE51="Blocked","No",IF(AJ51&lt;=[1]Model_Parameters!$B$20,"Yes","No"))</x:f>
        <x:v>#NAME?</x:v>
      </x:c>
      <x:c r="BF51" s="2" t="str">
        <x:f t="shared" si="3"/>
        <x:v>Yes</x:v>
      </x:c>
      <x:c r="BG51" s="2" t="str">
        <x:f t="shared" si="4"/>
        <x:v>Yes</x:v>
      </x:c>
      <x:c r="BH51" s="24"/>
      <x:c r="BI51" s="24"/>
    </x:row>
    <x:row r="52">
      <x:c r="A52" s="2" t="s">
        <x:v>59</x:v>
      </x:c>
      <x:c r="B52" s="3">
        <x:v>96</x:v>
      </x:c>
      <x:c r="C52" s="2" t="s">
        <x:v>257</x:v>
      </x:c>
      <x:c r="D52" s="2" t="s">
        <x:v>258</x:v>
      </x:c>
      <x:c r="E52" s="2" t="s">
        <x:v>62</x:v>
      </x:c>
      <x:c r="F52" s="2" t="s">
        <x:v>63</x:v>
      </x:c>
      <x:c r="G52" s="3">
        <x:v>45</x:v>
      </x:c>
      <x:c r="H52" s="3">
        <x:v>0</x:v>
      </x:c>
      <x:c r="I52" s="3">
        <x:v>120</x:v>
      </x:c>
      <x:c r="J52" s="4">
        <x:v>2.3255813953488368E-2</x:v>
      </x:c>
      <x:c r="K52" s="3">
        <x:v>0</x:v>
      </x:c>
      <x:c r="L52" s="2" t="s">
        <x:v>259</x:v>
      </x:c>
      <x:c r="M52" s="3">
        <x:v>580</x:v>
      </x:c>
      <x:c r="N52" s="3">
        <x:v>39</x:v>
      </x:c>
      <x:c r="O52" s="5">
        <x:v>78.940163984157579</x:v>
      </x:c>
      <x:c r="P52" s="5">
        <x:v>40.024084455059707</x:v>
      </x:c>
      <x:c r="Q52" s="5"/>
      <x:c r="R52" s="5">
        <x:v>98.007205933720087</x:v>
      </x:c>
      <x:c r="S52" s="5">
        <x:f t="shared" si="0"/>
        <x:v>45.771971178387794</x:v>
      </x:c>
      <x:c r="T52" s="5">
        <x:f t="shared" si="1"/>
        <x:v>45.771971178387794</x:v>
      </x:c>
      <x:c r="U52" s="5" t="e">
        <x:f>T52/[1]Model_Parameters!$B$22</x:f>
        <x:v>#NAME?</x:v>
      </x:c>
      <x:c r="V52" s="5">
        <x:v>323.27183784589602</x:v>
      </x:c>
      <x:c r="W52" s="5">
        <x:v>323.27183784589602</x:v>
      </x:c>
      <x:c r="X52" s="5">
        <x:v>93.196736349766951</x:v>
      </x:c>
      <x:c r="Y52" s="3">
        <x:v>3</x:v>
      </x:c>
      <x:c r="Z52" s="3">
        <x:v>0</x:v>
      </x:c>
      <x:c r="AA52" s="3"/>
      <x:c r="AB52" s="2"/>
      <x:c r="AC52" s="3"/>
      <x:c r="AD52" s="3"/>
      <x:c r="AE52" s="2" t="s">
        <x:v>65</x:v>
      </x:c>
      <x:c r="AF52" s="3">
        <x:v>2</x:v>
      </x:c>
      <x:c r="AG52" s="3">
        <x:v>0</x:v>
      </x:c>
      <x:c r="AH52" s="2" t="s">
        <x:v>259</x:v>
      </x:c>
      <x:c r="AI52" s="3">
        <x:v>39</x:v>
      </x:c>
      <x:c r="AJ52" s="3">
        <x:v>0</x:v>
      </x:c>
      <x:c r="AK52" s="2" t="s">
        <x:v>66</x:v>
      </x:c>
      <x:c r="AL52" s="3">
        <x:v>0</x:v>
      </x:c>
      <x:c r="AM52" s="2" t="s">
        <x:v>252</x:v>
      </x:c>
      <x:c r="AN52" s="3">
        <x:v>40</x:v>
      </x:c>
      <x:c r="AO52" s="3">
        <x:v>17</x:v>
      </x:c>
      <x:c r="AP52" s="3">
        <x:v>17</x:v>
      </x:c>
      <x:c r="AQ52" s="5">
        <x:v>49.113276892664771</x:v>
      </x:c>
      <x:c r="AR52" s="5">
        <x:v>45.771971178387787</x:v>
      </x:c>
      <x:c r="AS52" s="5">
        <x:f t="shared" si="2"/>
        <x:v>99.999999999999986</x:v>
      </x:c>
      <x:c r="AT52" s="5">
        <x:v>173.34097726822861</x:v>
      </x:c>
      <x:c r="AU52" s="5">
        <x:v>323.27183784589602</x:v>
      </x:c>
      <x:c r="AV52" s="5">
        <x:v>98.007205933720087</x:v>
      </x:c>
      <x:c r="AW52" s="2" t="b">
        <x:v>0</x:v>
      </x:c>
      <x:c r="AX52" s="2"/>
      <x:c r="AY52" s="2" t="s">
        <x:v>68</x:v>
      </x:c>
      <x:c r="AZ52" s="6">
        <x:v>39</x:v>
      </x:c>
      <x:c r="BA52" s="6"/>
      <x:c r="BB52" s="7"/>
      <x:c r="BC52" s="7"/>
      <x:c r="BD52" s="8"/>
      <x:c r="BE52" s="2" t="e">
        <x:f>IF(AE52="Blocked","No",IF(AJ52&lt;=[1]Model_Parameters!$B$20,"Yes","No"))</x:f>
        <x:v>#NAME?</x:v>
      </x:c>
      <x:c r="BF52" s="2" t="str">
        <x:f t="shared" si="3"/>
        <x:v>Yes</x:v>
      </x:c>
      <x:c r="BG52" s="2" t="str">
        <x:f t="shared" si="4"/>
        <x:v>Yes</x:v>
      </x:c>
      <x:c r="BH52" s="24"/>
      <x:c r="BI52" s="24"/>
    </x:row>
    <x:row r="53">
      <x:c r="A53" s="2" t="s">
        <x:v>59</x:v>
      </x:c>
      <x:c r="B53" s="3">
        <x:v>97</x:v>
      </x:c>
      <x:c r="C53" s="2" t="s">
        <x:v>260</x:v>
      </x:c>
      <x:c r="D53" s="2" t="s">
        <x:v>261</x:v>
      </x:c>
      <x:c r="E53" s="2" t="s">
        <x:v>62</x:v>
      </x:c>
      <x:c r="F53" s="2" t="s">
        <x:v>63</x:v>
      </x:c>
      <x:c r="G53" s="3">
        <x:v>46</x:v>
      </x:c>
      <x:c r="H53" s="3">
        <x:v>0</x:v>
      </x:c>
      <x:c r="I53" s="3">
        <x:v>120</x:v>
      </x:c>
      <x:c r="J53" s="4">
        <x:v>2.3255813953488368E-2</x:v>
      </x:c>
      <x:c r="K53" s="3">
        <x:v>0</x:v>
      </x:c>
      <x:c r="L53" s="2" t="s">
        <x:v>262</x:v>
      </x:c>
      <x:c r="M53" s="3">
        <x:v>584</x:v>
      </x:c>
      <x:c r="N53" s="3">
        <x:v>39</x:v>
      </x:c>
      <x:c r="O53" s="5">
        <x:v>165.31617363712391</x:v>
      </x:c>
      <x:c r="P53" s="5">
        <x:v>37.426899603905909</x:v>
      </x:c>
      <x:c r="Q53" s="5"/>
      <x:c r="R53" s="5">
        <x:v>85.594062395790814</x:v>
      </x:c>
      <x:c r="S53" s="5">
        <x:f t="shared" si="0"/>
        <x:v>79.628110477108592</x:v>
      </x:c>
      <x:c r="T53" s="5">
        <x:f t="shared" si="1"/>
        <x:v>79.628110477108592</x:v>
      </x:c>
      <x:c r="U53" s="5" t="e">
        <x:f>T53/[1]Model_Parameters!$B$22</x:f>
        <x:v>#NAME?</x:v>
      </x:c>
      <x:c r="V53" s="5">
        <x:v>359.39314108719242</x:v>
      </x:c>
      <x:c r="W53" s="5">
        <x:v>359.39314108719242</x:v>
      </x:c>
      <x:c r="X53" s="5">
        <x:v>91.668360032810142</x:v>
      </x:c>
      <x:c r="Y53" s="3">
        <x:v>4</x:v>
      </x:c>
      <x:c r="Z53" s="3">
        <x:v>0</x:v>
      </x:c>
      <x:c r="AA53" s="3"/>
      <x:c r="AB53" s="2"/>
      <x:c r="AC53" s="3"/>
      <x:c r="AD53" s="3"/>
      <x:c r="AE53" s="2" t="s">
        <x:v>65</x:v>
      </x:c>
      <x:c r="AF53" s="3">
        <x:v>3</x:v>
      </x:c>
      <x:c r="AG53" s="3">
        <x:v>0</x:v>
      </x:c>
      <x:c r="AH53" s="2" t="s">
        <x:v>262</x:v>
      </x:c>
      <x:c r="AI53" s="3">
        <x:v>39</x:v>
      </x:c>
      <x:c r="AJ53" s="3">
        <x:v>0</x:v>
      </x:c>
      <x:c r="AK53" s="2" t="s">
        <x:v>66</x:v>
      </x:c>
      <x:c r="AL53" s="3">
        <x:v>0</x:v>
      </x:c>
      <x:c r="AM53" s="2" t="s">
        <x:v>263</x:v>
      </x:c>
      <x:c r="AN53" s="3">
        <x:v>41</x:v>
      </x:c>
      <x:c r="AO53" s="3">
        <x:v>18</x:v>
      </x:c>
      <x:c r="AP53" s="3">
        <x:v>18</x:v>
      </x:c>
      <x:c r="AQ53" s="5">
        <x:v>86.865424938995304</x:v>
      </x:c>
      <x:c r="AR53" s="5">
        <x:v>79.628110477108677</x:v>
      </x:c>
      <x:c r="AS53" s="5">
        <x:f t="shared" si="2"/>
        <x:v>100.00000000000011</x:v>
      </x:c>
      <x:c r="AT53" s="5">
        <x:v>289.55141646331771</x:v>
      </x:c>
      <x:c r="AU53" s="5">
        <x:v>359.39314108719248</x:v>
      </x:c>
      <x:c r="AV53" s="5">
        <x:v>85.594062395790814</x:v>
      </x:c>
      <x:c r="AW53" s="2" t="b">
        <x:v>0</x:v>
      </x:c>
      <x:c r="AX53" s="2"/>
      <x:c r="AY53" s="2" t="s">
        <x:v>68</x:v>
      </x:c>
      <x:c r="AZ53" s="6">
        <x:v>39</x:v>
      </x:c>
      <x:c r="BA53" s="6"/>
      <x:c r="BB53" s="7"/>
      <x:c r="BC53" s="7"/>
      <x:c r="BD53" s="8"/>
      <x:c r="BE53" s="2" t="e">
        <x:f>IF(AE53="Blocked","No",IF(AJ53&lt;=[1]Model_Parameters!$B$20,"Yes","No"))</x:f>
        <x:v>#NAME?</x:v>
      </x:c>
      <x:c r="BF53" s="2" t="str">
        <x:f t="shared" si="3"/>
        <x:v>Yes</x:v>
      </x:c>
      <x:c r="BG53" s="2" t="str">
        <x:f t="shared" si="4"/>
        <x:v>Yes</x:v>
      </x:c>
      <x:c r="BH53" s="24"/>
      <x:c r="BI53" s="24"/>
    </x:row>
    <x:row r="54">
      <x:c r="A54" s="2" t="s">
        <x:v>59</x:v>
      </x:c>
      <x:c r="B54" s="3">
        <x:v>100</x:v>
      </x:c>
      <x:c r="C54" s="2" t="s">
        <x:v>264</x:v>
      </x:c>
      <x:c r="D54" s="2" t="s">
        <x:v>265</x:v>
      </x:c>
      <x:c r="E54" s="2" t="s">
        <x:v>62</x:v>
      </x:c>
      <x:c r="F54" s="2" t="s">
        <x:v>63</x:v>
      </x:c>
      <x:c r="G54" s="3">
        <x:v>47</x:v>
      </x:c>
      <x:c r="H54" s="3">
        <x:v>0</x:v>
      </x:c>
      <x:c r="I54" s="3">
        <x:v>120</x:v>
      </x:c>
      <x:c r="J54" s="4">
        <x:v>1.1627906976744189E-2</x:v>
      </x:c>
      <x:c r="K54" s="3">
        <x:v>0</x:v>
      </x:c>
      <x:c r="L54" s="2" t="s">
        <x:v>266</x:v>
      </x:c>
      <x:c r="M54" s="3">
        <x:v>619</x:v>
      </x:c>
      <x:c r="N54" s="3">
        <x:v>42</x:v>
      </x:c>
      <x:c r="O54" s="5">
        <x:v>80.227715081554763</x:v>
      </x:c>
      <x:c r="P54" s="5">
        <x:v>43.926312121413041</x:v>
      </x:c>
      <x:c r="Q54" s="5"/>
      <x:c r="R54" s="5">
        <x:v>89.678685957049424</x:v>
      </x:c>
      <x:c r="S54" s="5">
        <x:f t="shared" si="0"/>
        <x:v>36.706084123902166</x:v>
      </x:c>
      <x:c r="T54" s="5">
        <x:f t="shared" si="1"/>
        <x:v>36.706084123902166</x:v>
      </x:c>
      <x:c r="U54" s="5" t="e">
        <x:f>T54/[1]Model_Parameters!$B$22</x:f>
        <x:v>#NAME?</x:v>
      </x:c>
      <x:c r="V54" s="5">
        <x:v>270.92325981049669</x:v>
      </x:c>
      <x:c r="W54" s="5">
        <x:v>270.92325981049669</x:v>
      </x:c>
      <x:c r="X54" s="5">
        <x:v>94.436900381858081</x:v>
      </x:c>
      <x:c r="Y54" s="3">
        <x:v>1</x:v>
      </x:c>
      <x:c r="Z54" s="3">
        <x:v>0</x:v>
      </x:c>
      <x:c r="AA54" s="3"/>
      <x:c r="AB54" s="2"/>
      <x:c r="AC54" s="3"/>
      <x:c r="AD54" s="3"/>
      <x:c r="AE54" s="2" t="s">
        <x:v>65</x:v>
      </x:c>
      <x:c r="AF54" s="3">
        <x:v>6</x:v>
      </x:c>
      <x:c r="AG54" s="3">
        <x:v>0</x:v>
      </x:c>
      <x:c r="AH54" s="2" t="s">
        <x:v>266</x:v>
      </x:c>
      <x:c r="AI54" s="3">
        <x:v>42</x:v>
      </x:c>
      <x:c r="AJ54" s="3">
        <x:v>0</x:v>
      </x:c>
      <x:c r="AK54" s="2" t="s">
        <x:v>66</x:v>
      </x:c>
      <x:c r="AL54" s="3">
        <x:v>0</x:v>
      </x:c>
      <x:c r="AM54" s="2" t="s">
        <x:v>267</x:v>
      </x:c>
      <x:c r="AN54" s="3">
        <x:v>43</x:v>
      </x:c>
      <x:c r="AO54" s="3">
        <x:v>12</x:v>
      </x:c>
      <x:c r="AP54" s="3">
        <x:v>12</x:v>
      </x:c>
      <x:c r="AQ54" s="5">
        <x:v>38.868370282675677</x:v>
      </x:c>
      <x:c r="AR54" s="5">
        <x:v>36.706084123902173</x:v>
      </x:c>
      <x:c r="AS54" s="5">
        <x:f t="shared" si="2"/>
        <x:v>100.00000000000003</x:v>
      </x:c>
      <x:c r="AT54" s="5">
        <x:v>194.34185141337841</x:v>
      </x:c>
      <x:c r="AU54" s="5">
        <x:v>270.92325981049669</x:v>
      </x:c>
      <x:c r="AV54" s="5">
        <x:v>89.678685957049424</x:v>
      </x:c>
      <x:c r="AW54" s="2" t="b">
        <x:v>0</x:v>
      </x:c>
      <x:c r="AX54" s="2"/>
      <x:c r="AY54" s="2" t="s">
        <x:v>68</x:v>
      </x:c>
      <x:c r="AZ54" s="6">
        <x:v>42</x:v>
      </x:c>
      <x:c r="BA54" s="6"/>
      <x:c r="BB54" s="7"/>
      <x:c r="BC54" s="7"/>
      <x:c r="BD54" s="8"/>
      <x:c r="BE54" s="2" t="e">
        <x:f>IF(AE54="Blocked","No",IF(AJ54&lt;=[1]Model_Parameters!$B$20,"Yes","No"))</x:f>
        <x:v>#NAME?</x:v>
      </x:c>
      <x:c r="BF54" s="2" t="str">
        <x:f t="shared" si="3"/>
        <x:v>Yes</x:v>
      </x:c>
      <x:c r="BG54" s="2" t="str">
        <x:f t="shared" si="4"/>
        <x:v>Yes</x:v>
      </x:c>
      <x:c r="BH54" s="24"/>
      <x:c r="BI54" s="24"/>
    </x:row>
    <x:row r="55">
      <x:c r="A55" s="2" t="s">
        <x:v>59</x:v>
      </x:c>
      <x:c r="B55" s="3">
        <x:v>102</x:v>
      </x:c>
      <x:c r="C55" s="2" t="s">
        <x:v>268</x:v>
      </x:c>
      <x:c r="D55" s="2" t="s">
        <x:v>269</x:v>
      </x:c>
      <x:c r="E55" s="2" t="s">
        <x:v>79</x:v>
      </x:c>
      <x:c r="F55" s="2" t="s">
        <x:v>80</x:v>
      </x:c>
      <x:c r="G55" s="3">
        <x:v>7</x:v>
      </x:c>
      <x:c r="H55" s="3">
        <x:v>1</x:v>
      </x:c>
      <x:c r="I55" s="3">
        <x:v>30</x:v>
      </x:c>
      <x:c r="J55" s="4">
        <x:v>3.0525030525030521E-2</x:v>
      </x:c>
      <x:c r="K55" s="3">
        <x:v>0</x:v>
      </x:c>
      <x:c r="L55" s="2" t="s">
        <x:v>270</x:v>
      </x:c>
      <x:c r="M55" s="3">
        <x:v>672</x:v>
      </x:c>
      <x:c r="N55" s="3">
        <x:v>45</x:v>
      </x:c>
      <x:c r="O55" s="5">
        <x:v>143.18202538779869</x:v>
      </x:c>
      <x:c r="P55" s="5">
        <x:v>20.829306972396601</x:v>
      </x:c>
      <x:c r="Q55" s="5"/>
      <x:c r="R55" s="5">
        <x:v>71.115498866013297</x:v>
      </x:c>
      <x:c r="S55" s="5">
        <x:f t="shared" si="0"/>
        <x:v>72.000788043675414</x:v>
      </x:c>
      <x:c r="T55" s="5">
        <x:f t="shared" si="1"/>
        <x:v>72.000788043675414</x:v>
      </x:c>
      <x:c r="U55" s="5" t="e">
        <x:f>T55/[1]Model_Parameters!$B$22</x:f>
        <x:v>#NAME?</x:v>
      </x:c>
      <x:c r="V55" s="5">
        <x:v>373.80940710254328</x:v>
      </x:c>
      <x:c r="W55" s="5">
        <x:v>373.80940710254328</x:v>
      </x:c>
      <x:c r="X55" s="5">
        <x:v>94.348022544948904</x:v>
      </x:c>
      <x:c r="Y55" s="3">
        <x:v>0</x:v>
      </x:c>
      <x:c r="Z55" s="3">
        <x:v>0</x:v>
      </x:c>
      <x:c r="AA55" s="3"/>
      <x:c r="AB55" s="2"/>
      <x:c r="AC55" s="3"/>
      <x:c r="AD55" s="3"/>
      <x:c r="AE55" s="2" t="s">
        <x:v>65</x:v>
      </x:c>
      <x:c r="AF55" s="3">
        <x:v>8</x:v>
      </x:c>
      <x:c r="AG55" s="3">
        <x:v>0</x:v>
      </x:c>
      <x:c r="AH55" s="2" t="s">
        <x:v>270</x:v>
      </x:c>
      <x:c r="AI55" s="3">
        <x:v>45</x:v>
      </x:c>
      <x:c r="AJ55" s="3">
        <x:v>0</x:v>
      </x:c>
      <x:c r="AK55" s="2" t="s">
        <x:v>66</x:v>
      </x:c>
      <x:c r="AL55" s="3">
        <x:v>0</x:v>
      </x:c>
      <x:c r="AM55" s="2" t="s">
        <x:v>271</x:v>
      </x:c>
      <x:c r="AN55" s="3">
        <x:v>46</x:v>
      </x:c>
      <x:c r="AO55" s="3">
        <x:v>13</x:v>
      </x:c>
      <x:c r="AP55" s="3">
        <x:v>13</x:v>
      </x:c>
      <x:c r="AQ55" s="5">
        <x:v>76.314040402249105</x:v>
      </x:c>
      <x:c r="AR55" s="5">
        <x:v>72.000788043675399</x:v>
      </x:c>
      <x:c r="AS55" s="5">
        <x:f t="shared" si="2"/>
        <x:v>99.999999999999972</x:v>
      </x:c>
      <x:c r="AT55" s="5">
        <x:v>352.21864801038049</x:v>
      </x:c>
      <x:c r="AU55" s="5">
        <x:v>373.80940710254328</x:v>
      </x:c>
      <x:c r="AV55" s="5">
        <x:v>71.115498866013297</x:v>
      </x:c>
      <x:c r="AW55" s="2" t="b">
        <x:v>0</x:v>
      </x:c>
      <x:c r="AX55" s="2"/>
      <x:c r="AY55" s="2" t="s">
        <x:v>83</x:v>
      </x:c>
      <x:c r="AZ55" s="6">
        <x:v>45</x:v>
      </x:c>
      <x:c r="BA55" s="6"/>
      <x:c r="BB55" s="7"/>
      <x:c r="BC55" s="7"/>
      <x:c r="BD55" s="8"/>
      <x:c r="BE55" s="2" t="e">
        <x:f>IF(AE55="Blocked","No",IF(AJ55&lt;=[1]Model_Parameters!$B$20,"Yes","No"))</x:f>
        <x:v>#NAME?</x:v>
      </x:c>
      <x:c r="BF55" s="2" t="str">
        <x:f t="shared" si="3"/>
        <x:v>Yes</x:v>
      </x:c>
      <x:c r="BG55" s="2" t="str">
        <x:f t="shared" si="4"/>
        <x:v>Yes</x:v>
      </x:c>
      <x:c r="BH55" s="24" t="str">
        <x:v>09:00</x:v>
      </x:c>
      <x:c r="BI55" s="24" t="str">
        <x:v>15:30</x:v>
      </x:c>
    </x:row>
    <x:row r="56">
      <x:c r="A56" s="2" t="s">
        <x:v>59</x:v>
      </x:c>
      <x:c r="B56" s="3">
        <x:v>103</x:v>
      </x:c>
      <x:c r="C56" s="2" t="s">
        <x:v>272</x:v>
      </x:c>
      <x:c r="D56" s="2" t="s">
        <x:v>273</x:v>
      </x:c>
      <x:c r="E56" s="2" t="s">
        <x:v>79</x:v>
      </x:c>
      <x:c r="F56" s="2" t="s">
        <x:v>80</x:v>
      </x:c>
      <x:c r="G56" s="3">
        <x:v>8</x:v>
      </x:c>
      <x:c r="H56" s="3">
        <x:v>1</x:v>
      </x:c>
      <x:c r="I56" s="3">
        <x:v>30</x:v>
      </x:c>
      <x:c r="J56" s="4">
        <x:v>3.0525030525030521E-2</x:v>
      </x:c>
      <x:c r="K56" s="3">
        <x:v>0</x:v>
      </x:c>
      <x:c r="L56" s="2" t="s">
        <x:v>274</x:v>
      </x:c>
      <x:c r="M56" s="3">
        <x:v>695</x:v>
      </x:c>
      <x:c r="N56" s="3">
        <x:v>47</x:v>
      </x:c>
      <x:c r="O56" s="5">
        <x:v>82.622902778665278</x:v>
      </x:c>
      <x:c r="P56" s="5">
        <x:v>33.651477447209977</x:v>
      </x:c>
      <x:c r="Q56" s="5"/>
      <x:c r="R56" s="5">
        <x:v>66.047152253649259</x:v>
      </x:c>
      <x:c r="S56" s="5">
        <x:f t="shared" si="0"/>
        <x:v>26.766246899816888</x:v>
      </x:c>
      <x:c r="T56" s="5">
        <x:f t="shared" si="1"/>
        <x:v>26.766246899816888</x:v>
      </x:c>
      <x:c r="U56" s="5" t="e">
        <x:f>T56/[1]Model_Parameters!$B$22</x:f>
        <x:v>#NAME?</x:v>
      </x:c>
      <x:c r="V56" s="5">
        <x:v>322.94803333312461</x:v>
      </x:c>
      <x:c r="W56" s="5">
        <x:v>322.94803333312461</x:v>
      </x:c>
      <x:c r="X56" s="5">
        <x:v>93.769851217198976</x:v>
      </x:c>
      <x:c r="Y56" s="3">
        <x:v>0</x:v>
      </x:c>
      <x:c r="Z56" s="3">
        <x:v>0</x:v>
      </x:c>
      <x:c r="AA56" s="3"/>
      <x:c r="AB56" s="2"/>
      <x:c r="AC56" s="3"/>
      <x:c r="AD56" s="3"/>
      <x:c r="AE56" s="2" t="s">
        <x:v>65</x:v>
      </x:c>
      <x:c r="AF56" s="3">
        <x:v>9</x:v>
      </x:c>
      <x:c r="AG56" s="3">
        <x:v>0</x:v>
      </x:c>
      <x:c r="AH56" s="2" t="s">
        <x:v>274</x:v>
      </x:c>
      <x:c r="AI56" s="3">
        <x:v>47</x:v>
      </x:c>
      <x:c r="AJ56" s="3">
        <x:v>0</x:v>
      </x:c>
      <x:c r="AK56" s="2" t="s">
        <x:v>66</x:v>
      </x:c>
      <x:c r="AL56" s="3">
        <x:v>0</x:v>
      </x:c>
      <x:c r="AM56" s="2" t="s">
        <x:v>275</x:v>
      </x:c>
      <x:c r="AN56" s="3">
        <x:v>47</x:v>
      </x:c>
      <x:c r="AO56" s="3">
        <x:v>6</x:v>
      </x:c>
      <x:c r="AP56" s="3">
        <x:v>6</x:v>
      </x:c>
      <x:c r="AQ56" s="5">
        <x:v>28.544619141837241</x:v>
      </x:c>
      <x:c r="AR56" s="5">
        <x:v>26.766246899816881</x:v>
      </x:c>
      <x:c r="AS56" s="5">
        <x:f t="shared" si="2"/>
        <x:v>99.999999999999972</x:v>
      </x:c>
      <x:c r="AT56" s="5">
        <x:v>285.44619141837239</x:v>
      </x:c>
      <x:c r="AU56" s="5">
        <x:v>322.94803333312461</x:v>
      </x:c>
      <x:c r="AV56" s="5">
        <x:v>66.047152253649259</x:v>
      </x:c>
      <x:c r="AW56" s="2" t="b">
        <x:v>0</x:v>
      </x:c>
      <x:c r="AX56" s="2"/>
      <x:c r="AY56" s="2" t="s">
        <x:v>83</x:v>
      </x:c>
      <x:c r="AZ56" s="6">
        <x:v>47</x:v>
      </x:c>
      <x:c r="BA56" s="6"/>
      <x:c r="BB56" s="7"/>
      <x:c r="BC56" s="7"/>
      <x:c r="BD56" s="8"/>
      <x:c r="BE56" s="2" t="e">
        <x:f>IF(AE56="Blocked","No",IF(AJ56&lt;=[1]Model_Parameters!$B$20,"Yes","No"))</x:f>
        <x:v>#NAME?</x:v>
      </x:c>
      <x:c r="BF56" s="2" t="str">
        <x:f t="shared" si="3"/>
        <x:v>Yes</x:v>
      </x:c>
      <x:c r="BG56" s="2" t="str">
        <x:f t="shared" si="4"/>
        <x:v>Yes</x:v>
      </x:c>
      <x:c r="BH56" s="24" t="str">
        <x:v>09:30</x:v>
      </x:c>
      <x:c r="BI56" s="24" t="str">
        <x:v>15:45</x:v>
      </x:c>
    </x:row>
    <x:row r="57">
      <x:c r="A57" s="2" t="s">
        <x:v>59</x:v>
      </x:c>
      <x:c r="B57" s="3">
        <x:v>104</x:v>
      </x:c>
      <x:c r="C57" s="2" t="s">
        <x:v>276</x:v>
      </x:c>
      <x:c r="D57" s="2" t="s">
        <x:v>277</x:v>
      </x:c>
      <x:c r="E57" s="2" t="s">
        <x:v>62</x:v>
      </x:c>
      <x:c r="F57" s="2" t="s">
        <x:v>63</x:v>
      </x:c>
      <x:c r="G57" s="3">
        <x:v>48</x:v>
      </x:c>
      <x:c r="H57" s="3">
        <x:v>0</x:v>
      </x:c>
      <x:c r="I57" s="3">
        <x:v>120</x:v>
      </x:c>
      <x:c r="J57" s="4">
        <x:v>1.1627906976744189E-2</x:v>
      </x:c>
      <x:c r="K57" s="3">
        <x:v>0</x:v>
      </x:c>
      <x:c r="L57" s="2" t="s">
        <x:v>278</x:v>
      </x:c>
      <x:c r="M57" s="3">
        <x:v>703</x:v>
      </x:c>
      <x:c r="N57" s="3">
        <x:v>47</x:v>
      </x:c>
      <x:c r="O57" s="5">
        <x:v>74.666027323961629</x:v>
      </x:c>
      <x:c r="P57" s="5">
        <x:v>17.425083270537261</x:v>
      </x:c>
      <x:c r="Q57" s="5"/>
      <x:c r="R57" s="5">
        <x:v>71.295620193011786</x:v>
      </x:c>
      <x:c r="S57" s="5">
        <x:f t="shared" si="0"/>
        <x:v>40.22298981809967</x:v>
      </x:c>
      <x:c r="T57" s="5">
        <x:f t="shared" si="1"/>
        <x:v>40.22298981809967</x:v>
      </x:c>
      <x:c r="U57" s="5" t="e">
        <x:f>T57/[1]Model_Parameters!$B$22</x:f>
        <x:v>#NAME?</x:v>
      </x:c>
      <x:c r="V57" s="5">
        <x:v>282.84943199497383</x:v>
      </x:c>
      <x:c r="W57" s="5">
        <x:v>282.84943199497383</x:v>
      </x:c>
      <x:c r="X57" s="5">
        <x:v>93.280789831078579</x:v>
      </x:c>
      <x:c r="Y57" s="3">
        <x:v>0</x:v>
      </x:c>
      <x:c r="Z57" s="3">
        <x:v>0</x:v>
      </x:c>
      <x:c r="AA57" s="3"/>
      <x:c r="AB57" s="2"/>
      <x:c r="AC57" s="3"/>
      <x:c r="AD57" s="3"/>
      <x:c r="AE57" s="2" t="s">
        <x:v>65</x:v>
      </x:c>
      <x:c r="AF57" s="3">
        <x:v>10</x:v>
      </x:c>
      <x:c r="AG57" s="3">
        <x:v>0</x:v>
      </x:c>
      <x:c r="AH57" s="2" t="s">
        <x:v>278</x:v>
      </x:c>
      <x:c r="AI57" s="3">
        <x:v>47</x:v>
      </x:c>
      <x:c r="AJ57" s="3">
        <x:v>0</x:v>
      </x:c>
      <x:c r="AK57" s="2" t="s">
        <x:v>66</x:v>
      </x:c>
      <x:c r="AL57" s="3">
        <x:v>0</x:v>
      </x:c>
      <x:c r="AM57" s="2" t="s">
        <x:v>279</x:v>
      </x:c>
      <x:c r="AN57" s="3">
        <x:v>48</x:v>
      </x:c>
      <x:c r="AO57" s="3">
        <x:v>10</x:v>
      </x:c>
      <x:c r="AP57" s="3">
        <x:v>10</x:v>
      </x:c>
      <x:c r="AQ57" s="5">
        <x:v>43.120335806481869</x:v>
      </x:c>
      <x:c r="AR57" s="5">
        <x:v>40.222989818099677</x:v>
      </x:c>
      <x:c r="AS57" s="5">
        <x:f t="shared" si="2"/>
        <x:v>100.00000000000003</x:v>
      </x:c>
      <x:c r="AT57" s="5">
        <x:v>258.72201483889131</x:v>
      </x:c>
      <x:c r="AU57" s="5">
        <x:v>282.84943199497383</x:v>
      </x:c>
      <x:c r="AV57" s="5">
        <x:v>71.295620193011786</x:v>
      </x:c>
      <x:c r="AW57" s="2" t="b">
        <x:v>0</x:v>
      </x:c>
      <x:c r="AX57" s="2"/>
      <x:c r="AY57" s="2" t="s">
        <x:v>68</x:v>
      </x:c>
      <x:c r="AZ57" s="6">
        <x:v>47</x:v>
      </x:c>
      <x:c r="BA57" s="6"/>
      <x:c r="BB57" s="7"/>
      <x:c r="BC57" s="7"/>
      <x:c r="BD57" s="8"/>
      <x:c r="BE57" s="2" t="e">
        <x:f>IF(AE57="Blocked","No",IF(AJ57&lt;=[1]Model_Parameters!$B$20,"Yes","No"))</x:f>
        <x:v>#NAME?</x:v>
      </x:c>
      <x:c r="BF57" s="2" t="str">
        <x:f t="shared" si="3"/>
        <x:v>Yes</x:v>
      </x:c>
      <x:c r="BG57" s="2" t="str">
        <x:f t="shared" si="4"/>
        <x:v>Yes</x:v>
      </x:c>
      <x:c r="BH57" s="24"/>
      <x:c r="BI57" s="24"/>
    </x:row>
    <x:row r="58">
      <x:c r="A58" s="2" t="s">
        <x:v>59</x:v>
      </x:c>
      <x:c r="B58" s="3">
        <x:v>106</x:v>
      </x:c>
      <x:c r="C58" s="2" t="s">
        <x:v>280</x:v>
      </x:c>
      <x:c r="D58" s="2" t="s">
        <x:v>281</x:v>
      </x:c>
      <x:c r="E58" s="2" t="s">
        <x:v>79</x:v>
      </x:c>
      <x:c r="F58" s="2" t="s">
        <x:v>80</x:v>
      </x:c>
      <x:c r="G58" s="3">
        <x:v>9</x:v>
      </x:c>
      <x:c r="H58" s="3">
        <x:v>1</x:v>
      </x:c>
      <x:c r="I58" s="3">
        <x:v>30</x:v>
      </x:c>
      <x:c r="J58" s="4">
        <x:v>4.2735042735042729E-2</x:v>
      </x:c>
      <x:c r="K58" s="3">
        <x:v>0</x:v>
      </x:c>
      <x:c r="L58" s="2" t="s">
        <x:v>282</x:v>
      </x:c>
      <x:c r="M58" s="3">
        <x:v>722</x:v>
      </x:c>
      <x:c r="N58" s="3">
        <x:v>49</x:v>
      </x:c>
      <x:c r="O58" s="5">
        <x:v>156.58429134546529</x:v>
      </x:c>
      <x:c r="P58" s="5">
        <x:v>24.736473366591682</x:v>
      </x:c>
      <x:c r="Q58" s="5"/>
      <x:c r="R58" s="5">
        <x:v>83.228214782773918</x:v>
      </x:c>
      <x:c r="S58" s="5">
        <x:f t="shared" si="0"/>
        <x:v>91.588878792150979</x:v>
      </x:c>
      <x:c r="T58" s="5">
        <x:f t="shared" si="1"/>
        <x:v>91.588878792150979</x:v>
      </x:c>
      <x:c r="U58" s="5" t="e">
        <x:f>T58/[1]Model_Parameters!$B$22</x:f>
        <x:v>#NAME?</x:v>
      </x:c>
      <x:c r="V58" s="5">
        <x:v>327.62211975949219</x:v>
      </x:c>
      <x:c r="W58" s="5">
        <x:v>327.62211975949219</x:v>
      </x:c>
      <x:c r="X58" s="5">
        <x:v>92.17589939608888</x:v>
      </x:c>
      <x:c r="Y58" s="3">
        <x:v>0</x:v>
      </x:c>
      <x:c r="Z58" s="3">
        <x:v>0</x:v>
      </x:c>
      <x:c r="AA58" s="3"/>
      <x:c r="AB58" s="2"/>
      <x:c r="AC58" s="3"/>
      <x:c r="AD58" s="3"/>
      <x:c r="AE58" s="2" t="s">
        <x:v>65</x:v>
      </x:c>
      <x:c r="AF58" s="3">
        <x:v>2</x:v>
      </x:c>
      <x:c r="AG58" s="3">
        <x:v>0</x:v>
      </x:c>
      <x:c r="AH58" s="2" t="s">
        <x:v>282</x:v>
      </x:c>
      <x:c r="AI58" s="3">
        <x:v>49</x:v>
      </x:c>
      <x:c r="AJ58" s="3">
        <x:v>0</x:v>
      </x:c>
      <x:c r="AK58" s="2" t="s">
        <x:v>66</x:v>
      </x:c>
      <x:c r="AL58" s="3">
        <x:v>0</x:v>
      </x:c>
      <x:c r="AM58" s="2" t="s">
        <x:v>283</x:v>
      </x:c>
      <x:c r="AN58" s="3">
        <x:v>50</x:v>
      </x:c>
      <x:c r="AO58" s="3">
        <x:v>21</x:v>
      </x:c>
      <x:c r="AP58" s="3">
        <x:v>21</x:v>
      </x:c>
      <x:c r="AQ58" s="5">
        <x:v>99.363151748142556</x:v>
      </x:c>
      <x:c r="AR58" s="5">
        <x:v>91.588878792150993</x:v>
      </x:c>
      <x:c r="AS58" s="5">
        <x:f t="shared" si="2"/>
        <x:v>100.00000000000003</x:v>
      </x:c>
      <x:c r="AT58" s="5">
        <x:v>283.89471928040729</x:v>
      </x:c>
      <x:c r="AU58" s="5">
        <x:v>327.62211975949219</x:v>
      </x:c>
      <x:c r="AV58" s="5">
        <x:v>83.228214782773918</x:v>
      </x:c>
      <x:c r="AW58" s="2" t="b">
        <x:v>0</x:v>
      </x:c>
      <x:c r="AX58" s="2"/>
      <x:c r="AY58" s="2" t="s">
        <x:v>83</x:v>
      </x:c>
      <x:c r="AZ58" s="6">
        <x:v>49</x:v>
      </x:c>
      <x:c r="BA58" s="6"/>
      <x:c r="BB58" s="7"/>
      <x:c r="BC58" s="7"/>
      <x:c r="BD58" s="8"/>
      <x:c r="BE58" s="2" t="e">
        <x:f>IF(AE58="Blocked","No",IF(AJ58&lt;=[1]Model_Parameters!$B$20,"Yes","No"))</x:f>
        <x:v>#NAME?</x:v>
      </x:c>
      <x:c r="BF58" s="2" t="str">
        <x:f t="shared" si="3"/>
        <x:v>Yes</x:v>
      </x:c>
      <x:c r="BG58" s="2" t="str">
        <x:f t="shared" si="4"/>
        <x:v>Yes</x:v>
      </x:c>
      <x:c r="BH58" s="24" t="str">
        <x:v>10:00</x:v>
      </x:c>
      <x:c r="BI58" s="24" t="str">
        <x:v>16:30</x:v>
      </x:c>
    </x:row>
    <x:row r="59">
      <x:c r="A59" s="2" t="s">
        <x:v>59</x:v>
      </x:c>
      <x:c r="B59" s="3">
        <x:v>108</x:v>
      </x:c>
      <x:c r="C59" s="2" t="s">
        <x:v>284</x:v>
      </x:c>
      <x:c r="D59" s="2" t="s">
        <x:v>285</x:v>
      </x:c>
      <x:c r="E59" s="2" t="s">
        <x:v>62</x:v>
      </x:c>
      <x:c r="F59" s="2" t="s">
        <x:v>63</x:v>
      </x:c>
      <x:c r="G59" s="3">
        <x:v>49</x:v>
      </x:c>
      <x:c r="H59" s="3">
        <x:v>0</x:v>
      </x:c>
      <x:c r="I59" s="3">
        <x:v>120</x:v>
      </x:c>
      <x:c r="J59" s="4">
        <x:v>3.4883720930232558E-2</x:v>
      </x:c>
      <x:c r="K59" s="3">
        <x:v>0</x:v>
      </x:c>
      <x:c r="L59" s="2" t="s">
        <x:v>286</x:v>
      </x:c>
      <x:c r="M59" s="3">
        <x:v>742</x:v>
      </x:c>
      <x:c r="N59" s="3">
        <x:v>50</x:v>
      </x:c>
      <x:c r="O59" s="5">
        <x:v>135.8681501456995</x:v>
      </x:c>
      <x:c r="P59" s="5">
        <x:v>20.31869186536953</x:v>
      </x:c>
      <x:c r="Q59" s="5"/>
      <x:c r="R59" s="5">
        <x:v>72.48717986242788</x:v>
      </x:c>
      <x:c r="S59" s="5">
        <x:f t="shared" si="0"/>
        <x:v>70.880359600584455</x:v>
      </x:c>
      <x:c r="T59" s="5">
        <x:f t="shared" si="1"/>
        <x:v>70.880359600584455</x:v>
      </x:c>
      <x:c r="U59" s="5" t="e">
        <x:f>T59/[1]Model_Parameters!$B$22</x:f>
        <x:v>#NAME?</x:v>
      </x:c>
      <x:c r="V59" s="5">
        <x:v>279.64879249366709</x:v>
      </x:c>
      <x:c r="W59" s="5">
        <x:v>279.64879249366709</x:v>
      </x:c>
      <x:c r="X59" s="5">
        <x:v>90.30328092773901</x:v>
      </x:c>
      <x:c r="Y59" s="3">
        <x:v>1</x:v>
      </x:c>
      <x:c r="Z59" s="3">
        <x:v>0</x:v>
      </x:c>
      <x:c r="AA59" s="3"/>
      <x:c r="AB59" s="2"/>
      <x:c r="AC59" s="3"/>
      <x:c r="AD59" s="3"/>
      <x:c r="AE59" s="2" t="s">
        <x:v>65</x:v>
      </x:c>
      <x:c r="AF59" s="3">
        <x:v>4</x:v>
      </x:c>
      <x:c r="AG59" s="3">
        <x:v>0</x:v>
      </x:c>
      <x:c r="AH59" s="2" t="s">
        <x:v>286</x:v>
      </x:c>
      <x:c r="AI59" s="3">
        <x:v>50</x:v>
      </x:c>
      <x:c r="AJ59" s="3">
        <x:v>0</x:v>
      </x:c>
      <x:c r="AK59" s="2" t="s">
        <x:v>66</x:v>
      </x:c>
      <x:c r="AL59" s="3">
        <x:v>0</x:v>
      </x:c>
      <x:c r="AM59" s="2" t="s">
        <x:v>287</x:v>
      </x:c>
      <x:c r="AN59" s="3">
        <x:v>51</x:v>
      </x:c>
      <x:c r="AO59" s="3">
        <x:v>17</x:v>
      </x:c>
      <x:c r="AP59" s="3">
        <x:v>17</x:v>
      </x:c>
      <x:c r="AQ59" s="5">
        <x:v>78.491455540029762</x:v>
      </x:c>
      <x:c r="AR59" s="5">
        <x:v>70.880359600584441</x:v>
      </x:c>
      <x:c r="AS59" s="5">
        <x:f t="shared" si="2"/>
        <x:v>99.999999999999972</x:v>
      </x:c>
      <x:c r="AT59" s="5">
        <x:v>277.02866661186982</x:v>
      </x:c>
      <x:c r="AU59" s="5">
        <x:v>279.64879249366709</x:v>
      </x:c>
      <x:c r="AV59" s="5">
        <x:v>72.48717986242788</x:v>
      </x:c>
      <x:c r="AW59" s="2" t="b">
        <x:v>0</x:v>
      </x:c>
      <x:c r="AX59" s="2"/>
      <x:c r="AY59" s="2" t="s">
        <x:v>68</x:v>
      </x:c>
      <x:c r="AZ59" s="6">
        <x:v>50</x:v>
      </x:c>
      <x:c r="BA59" s="6"/>
      <x:c r="BB59" s="7"/>
      <x:c r="BC59" s="7"/>
      <x:c r="BD59" s="8"/>
      <x:c r="BE59" s="2" t="e">
        <x:f>IF(AE59="Blocked","No",IF(AJ59&lt;=[1]Model_Parameters!$B$20,"Yes","No"))</x:f>
        <x:v>#NAME?</x:v>
      </x:c>
      <x:c r="BF59" s="2" t="str">
        <x:f t="shared" si="3"/>
        <x:v>Yes</x:v>
      </x:c>
      <x:c r="BG59" s="2" t="str">
        <x:f t="shared" si="4"/>
        <x:v>Yes</x:v>
      </x:c>
      <x:c r="BH59" s="24"/>
      <x:c r="BI59" s="24"/>
    </x:row>
    <x:row r="60">
      <x:c r="A60" s="2" t="s">
        <x:v>59</x:v>
      </x:c>
      <x:c r="B60" s="3">
        <x:v>109</x:v>
      </x:c>
      <x:c r="C60" s="2" t="s">
        <x:v>288</x:v>
      </x:c>
      <x:c r="D60" s="2" t="s">
        <x:v>289</x:v>
      </x:c>
      <x:c r="E60" s="2" t="s">
        <x:v>62</x:v>
      </x:c>
      <x:c r="F60" s="2" t="s">
        <x:v>63</x:v>
      </x:c>
      <x:c r="G60" s="3">
        <x:v>50</x:v>
      </x:c>
      <x:c r="H60" s="3">
        <x:v>0</x:v>
      </x:c>
      <x:c r="I60" s="3">
        <x:v>120</x:v>
      </x:c>
      <x:c r="J60" s="4">
        <x:v>3.4883720930232558E-2</x:v>
      </x:c>
      <x:c r="K60" s="3">
        <x:v>0</x:v>
      </x:c>
      <x:c r="L60" s="2" t="s">
        <x:v>290</x:v>
      </x:c>
      <x:c r="M60" s="3">
        <x:v>746</x:v>
      </x:c>
      <x:c r="N60" s="3">
        <x:v>50</x:v>
      </x:c>
      <x:c r="O60" s="5">
        <x:v>94.785206572787999</x:v>
      </x:c>
      <x:c r="P60" s="5">
        <x:v>12.611946535618699</x:v>
      </x:c>
      <x:c r="Q60" s="5"/>
      <x:c r="R60" s="5">
        <x:v>45.298427204536971</x:v>
      </x:c>
      <x:c r="S60" s="5">
        <x:f t="shared" si="0"/>
        <x:v>30.981948223408597</x:v>
      </x:c>
      <x:c r="T60" s="5">
        <x:f t="shared" si="1"/>
        <x:v>30.981948223408597</x:v>
      </x:c>
      <x:c r="U60" s="5" t="e">
        <x:f>T60/[1]Model_Parameters!$B$22</x:f>
        <x:v>#NAME?</x:v>
      </x:c>
      <x:c r="V60" s="5">
        <x:v>227.5426534431563</x:v>
      </x:c>
      <x:c r="W60" s="5">
        <x:v>227.5426534431563</x:v>
      </x:c>
      <x:c r="X60" s="5">
        <x:v>90.623669109020824</x:v>
      </x:c>
      <x:c r="Y60" s="3">
        <x:v>1</x:v>
      </x:c>
      <x:c r="Z60" s="3">
        <x:v>0</x:v>
      </x:c>
      <x:c r="AA60" s="3"/>
      <x:c r="AB60" s="2"/>
      <x:c r="AC60" s="3"/>
      <x:c r="AD60" s="3"/>
      <x:c r="AE60" s="2" t="s">
        <x:v>65</x:v>
      </x:c>
      <x:c r="AF60" s="3">
        <x:v>5</x:v>
      </x:c>
      <x:c r="AG60" s="3">
        <x:v>0</x:v>
      </x:c>
      <x:c r="AH60" s="2" t="s">
        <x:v>290</x:v>
      </x:c>
      <x:c r="AI60" s="3">
        <x:v>50</x:v>
      </x:c>
      <x:c r="AJ60" s="3">
        <x:v>0</x:v>
      </x:c>
      <x:c r="AK60" s="2" t="s">
        <x:v>66</x:v>
      </x:c>
      <x:c r="AL60" s="3">
        <x:v>0</x:v>
      </x:c>
      <x:c r="AM60" s="2" t="s">
        <x:v>291</x:v>
      </x:c>
      <x:c r="AN60" s="3">
        <x:v>51</x:v>
      </x:c>
      <x:c r="AO60" s="3">
        <x:v>10</x:v>
      </x:c>
      <x:c r="AP60" s="3">
        <x:v>10</x:v>
      </x:c>
      <x:c r="AQ60" s="5">
        <x:v>34.18747941681454</x:v>
      </x:c>
      <x:c r="AR60" s="5">
        <x:v>30.981948223408601</x:v>
      </x:c>
      <x:c r="AS60" s="5">
        <x:f t="shared" si="2"/>
        <x:v>100.00000000000003</x:v>
      </x:c>
      <x:c r="AT60" s="5">
        <x:v>205.12487650088721</x:v>
      </x:c>
      <x:c r="AU60" s="5">
        <x:v>227.5426534431563</x:v>
      </x:c>
      <x:c r="AV60" s="5">
        <x:v>45.298427204536971</x:v>
      </x:c>
      <x:c r="AW60" s="2" t="b">
        <x:v>0</x:v>
      </x:c>
      <x:c r="AX60" s="2"/>
      <x:c r="AY60" s="2" t="s">
        <x:v>68</x:v>
      </x:c>
      <x:c r="AZ60" s="6">
        <x:v>50</x:v>
      </x:c>
      <x:c r="BA60" s="6"/>
      <x:c r="BB60" s="7"/>
      <x:c r="BC60" s="7"/>
      <x:c r="BD60" s="8"/>
      <x:c r="BE60" s="2" t="e">
        <x:f>IF(AE60="Blocked","No",IF(AJ60&lt;=[1]Model_Parameters!$B$20,"Yes","No"))</x:f>
        <x:v>#NAME?</x:v>
      </x:c>
      <x:c r="BF60" s="2" t="str">
        <x:f t="shared" si="3"/>
        <x:v>Yes</x:v>
      </x:c>
      <x:c r="BG60" s="2" t="str">
        <x:f t="shared" si="4"/>
        <x:v>Yes</x:v>
      </x:c>
      <x:c r="BH60" s="24"/>
      <x:c r="BI60" s="24"/>
    </x:row>
    <x:row r="61">
      <x:c r="A61" s="2" t="s">
        <x:v>59</x:v>
      </x:c>
      <x:c r="B61" s="3">
        <x:v>111</x:v>
      </x:c>
      <x:c r="C61" s="2" t="s">
        <x:v>292</x:v>
      </x:c>
      <x:c r="D61" s="2" t="s">
        <x:v>293</x:v>
      </x:c>
      <x:c r="E61" s="2" t="s">
        <x:v>62</x:v>
      </x:c>
      <x:c r="F61" s="2" t="s">
        <x:v>63</x:v>
      </x:c>
      <x:c r="G61" s="3">
        <x:v>51</x:v>
      </x:c>
      <x:c r="H61" s="3">
        <x:v>0</x:v>
      </x:c>
      <x:c r="I61" s="3">
        <x:v>120</x:v>
      </x:c>
      <x:c r="J61" s="4">
        <x:v>3.4883720930232558E-2</x:v>
      </x:c>
      <x:c r="K61" s="3">
        <x:v>0</x:v>
      </x:c>
      <x:c r="L61" s="2" t="s">
        <x:v>294</x:v>
      </x:c>
      <x:c r="M61" s="3">
        <x:v>755</x:v>
      </x:c>
      <x:c r="N61" s="3">
        <x:v>51</x:v>
      </x:c>
      <x:c r="O61" s="5">
        <x:v>166.04819106311601</x:v>
      </x:c>
      <x:c r="P61" s="5">
        <x:v>32.457549701313368</x:v>
      </x:c>
      <x:c r="Q61" s="5"/>
      <x:c r="R61" s="5">
        <x:v>74.387786426086748</x:v>
      </x:c>
      <x:c r="S61" s="5">
        <x:f t="shared" si="0"/>
        <x:v>69.624399589968533</x:v>
      </x:c>
      <x:c r="T61" s="5">
        <x:f t="shared" si="1"/>
        <x:v>69.624399589968533</x:v>
      </x:c>
      <x:c r="U61" s="5" t="e">
        <x:f>T61/[1]Model_Parameters!$B$22</x:f>
        <x:v>#NAME?</x:v>
      </x:c>
      <x:c r="V61" s="5">
        <x:v>209.57224832861729</x:v>
      </x:c>
      <x:c r="W61" s="5">
        <x:v>209.57224832861729</x:v>
      </x:c>
      <x:c r="X61" s="5">
        <x:v>93.25768541876387</x:v>
      </x:c>
      <x:c r="Y61" s="3">
        <x:v>3</x:v>
      </x:c>
      <x:c r="Z61" s="3">
        <x:v>0</x:v>
      </x:c>
      <x:c r="AA61" s="3"/>
      <x:c r="AB61" s="2"/>
      <x:c r="AC61" s="3"/>
      <x:c r="AD61" s="3"/>
      <x:c r="AE61" s="2" t="s">
        <x:v>65</x:v>
      </x:c>
      <x:c r="AF61" s="3">
        <x:v>7</x:v>
      </x:c>
      <x:c r="AG61" s="3">
        <x:v>0</x:v>
      </x:c>
      <x:c r="AH61" s="2" t="s">
        <x:v>294</x:v>
      </x:c>
      <x:c r="AI61" s="3">
        <x:v>51</x:v>
      </x:c>
      <x:c r="AJ61" s="3">
        <x:v>0</x:v>
      </x:c>
      <x:c r="AK61" s="2" t="s">
        <x:v>66</x:v>
      </x:c>
      <x:c r="AL61" s="3">
        <x:v>0</x:v>
      </x:c>
      <x:c r="AM61" s="2" t="s">
        <x:v>295</x:v>
      </x:c>
      <x:c r="AN61" s="3">
        <x:v>52</x:v>
      </x:c>
      <x:c r="AO61" s="3">
        <x:v>22</x:v>
      </x:c>
      <x:c r="AP61" s="3">
        <x:v>22</x:v>
      </x:c>
      <x:c r="AQ61" s="5">
        <x:v>74.658082363214831</x:v>
      </x:c>
      <x:c r="AR61" s="5">
        <x:v>69.624399589968519</x:v>
      </x:c>
      <x:c r="AS61" s="5">
        <x:f t="shared" si="2"/>
        <x:v>99.999999999999972</x:v>
      </x:c>
      <x:c r="AT61" s="5">
        <x:v>203.6129518996768</x:v>
      </x:c>
      <x:c r="AU61" s="5">
        <x:v>209.57224832861729</x:v>
      </x:c>
      <x:c r="AV61" s="5">
        <x:v>74.387786426086748</x:v>
      </x:c>
      <x:c r="AW61" s="2" t="b">
        <x:v>0</x:v>
      </x:c>
      <x:c r="AX61" s="2"/>
      <x:c r="AY61" s="2" t="s">
        <x:v>68</x:v>
      </x:c>
      <x:c r="AZ61" s="6">
        <x:v>51</x:v>
      </x:c>
      <x:c r="BA61" s="6"/>
      <x:c r="BB61" s="7"/>
      <x:c r="BC61" s="7"/>
      <x:c r="BD61" s="8"/>
      <x:c r="BE61" s="2" t="e">
        <x:f>IF(AE61="Blocked","No",IF(AJ61&lt;=[1]Model_Parameters!$B$20,"Yes","No"))</x:f>
        <x:v>#NAME?</x:v>
      </x:c>
      <x:c r="BF61" s="2" t="str">
        <x:f t="shared" si="3"/>
        <x:v>Yes</x:v>
      </x:c>
      <x:c r="BG61" s="2" t="str">
        <x:f t="shared" si="4"/>
        <x:v>Yes</x:v>
      </x:c>
      <x:c r="BH61" s="24"/>
      <x:c r="BI61" s="24"/>
    </x:row>
    <x:row r="62">
      <x:c r="A62" s="2" t="s">
        <x:v>59</x:v>
      </x:c>
      <x:c r="B62" s="3">
        <x:v>114</x:v>
      </x:c>
      <x:c r="C62" s="2" t="s">
        <x:v>296</x:v>
      </x:c>
      <x:c r="D62" s="2" t="s">
        <x:v>297</x:v>
      </x:c>
      <x:c r="E62" s="2" t="s">
        <x:v>79</x:v>
      </x:c>
      <x:c r="F62" s="2" t="s">
        <x:v>80</x:v>
      </x:c>
      <x:c r="G62" s="3">
        <x:v>10</x:v>
      </x:c>
      <x:c r="H62" s="3">
        <x:v>1</x:v>
      </x:c>
      <x:c r="I62" s="3">
        <x:v>30</x:v>
      </x:c>
      <x:c r="J62" s="4">
        <x:v>4.2735042735042729E-2</x:v>
      </x:c>
      <x:c r="K62" s="3">
        <x:v>0</x:v>
      </x:c>
      <x:c r="L62" s="2" t="s">
        <x:v>298</x:v>
      </x:c>
      <x:c r="M62" s="3">
        <x:v>770</x:v>
      </x:c>
      <x:c r="N62" s="3">
        <x:v>52</x:v>
      </x:c>
      <x:c r="O62" s="5">
        <x:v>76.489795717577351</x:v>
      </x:c>
      <x:c r="P62" s="5">
        <x:v>41.172748800624383</x:v>
      </x:c>
      <x:c r="Q62" s="5"/>
      <x:c r="R62" s="5">
        <x:v>74.525892805114907</x:v>
      </x:c>
      <x:c r="S62" s="5">
        <x:f t="shared" si="0"/>
        <x:v>25.5117517144242</x:v>
      </x:c>
      <x:c r="T62" s="5">
        <x:f t="shared" si="1"/>
        <x:v>25.5117517144242</x:v>
      </x:c>
      <x:c r="U62" s="5" t="e">
        <x:f>T62/[1]Model_Parameters!$B$22</x:f>
        <x:v>#NAME?</x:v>
      </x:c>
      <x:c r="V62" s="5">
        <x:v>406.05726054693753</x:v>
      </x:c>
      <x:c r="W62" s="5">
        <x:v>406.05726054693753</x:v>
      </x:c>
      <x:c r="X62" s="5">
        <x:v>92.064999328003225</x:v>
      </x:c>
      <x:c r="Y62" s="3">
        <x:v>2</x:v>
      </x:c>
      <x:c r="Z62" s="3">
        <x:v>0</x:v>
      </x:c>
      <x:c r="AA62" s="3"/>
      <x:c r="AB62" s="2"/>
      <x:c r="AC62" s="3"/>
      <x:c r="AD62" s="3"/>
      <x:c r="AE62" s="2" t="s">
        <x:v>65</x:v>
      </x:c>
      <x:c r="AF62" s="3">
        <x:v>10</x:v>
      </x:c>
      <x:c r="AG62" s="3">
        <x:v>0</x:v>
      </x:c>
      <x:c r="AH62" s="2" t="s">
        <x:v>298</x:v>
      </x:c>
      <x:c r="AI62" s="3">
        <x:v>52</x:v>
      </x:c>
      <x:c r="AJ62" s="3">
        <x:v>0</x:v>
      </x:c>
      <x:c r="AK62" s="2" t="s">
        <x:v>66</x:v>
      </x:c>
      <x:c r="AL62" s="3">
        <x:v>0</x:v>
      </x:c>
      <x:c r="AM62" s="2" t="s">
        <x:v>299</x:v>
      </x:c>
      <x:c r="AN62" s="3">
        <x:v>52</x:v>
      </x:c>
      <x:c r="AO62" s="3">
        <x:v>5</x:v>
      </x:c>
      <x:c r="AP62" s="3">
        <x:v>5</x:v>
      </x:c>
      <x:c r="AQ62" s="5">
        <x:v>27.71058697728612</x:v>
      </x:c>
      <x:c r="AR62" s="5">
        <x:v>25.511751714424221</x:v>
      </x:c>
      <x:c r="AS62" s="5">
        <x:f t="shared" si="2"/>
        <x:v>100.00000000000009</x:v>
      </x:c>
      <x:c r="AT62" s="5">
        <x:v>332.52704372743352</x:v>
      </x:c>
      <x:c r="AU62" s="5">
        <x:v>406.05726054693753</x:v>
      </x:c>
      <x:c r="AV62" s="5">
        <x:v>74.525892805114907</x:v>
      </x:c>
      <x:c r="AW62" s="2" t="b">
        <x:v>0</x:v>
      </x:c>
      <x:c r="AX62" s="2"/>
      <x:c r="AY62" s="2" t="s">
        <x:v>83</x:v>
      </x:c>
      <x:c r="AZ62" s="6">
        <x:v>52</x:v>
      </x:c>
      <x:c r="BA62" s="6"/>
      <x:c r="BB62" s="7"/>
      <x:c r="BC62" s="7"/>
      <x:c r="BD62" s="8"/>
      <x:c r="BE62" s="2" t="e">
        <x:f>IF(AE62="Blocked","No",IF(AJ62&lt;=[1]Model_Parameters!$B$20,"Yes","No"))</x:f>
        <x:v>#NAME?</x:v>
      </x:c>
      <x:c r="BF62" s="2" t="str">
        <x:f t="shared" si="3"/>
        <x:v>Yes</x:v>
      </x:c>
      <x:c r="BG62" s="2" t="str">
        <x:f t="shared" si="4"/>
        <x:v>Yes</x:v>
      </x:c>
      <x:c r="BH62" s="24" t="str">
        <x:v>10:45</x:v>
      </x:c>
      <x:c r="BI62" s="24" t="str">
        <x:v>17:00</x:v>
      </x:c>
    </x:row>
    <x:row r="63">
      <x:c r="A63" s="2" t="s">
        <x:v>59</x:v>
      </x:c>
      <x:c r="B63" s="3">
        <x:v>115</x:v>
      </x:c>
      <x:c r="C63" s="2" t="s">
        <x:v>300</x:v>
      </x:c>
      <x:c r="D63" s="2" t="s">
        <x:v>301</x:v>
      </x:c>
      <x:c r="E63" s="2" t="s">
        <x:v>79</x:v>
      </x:c>
      <x:c r="F63" s="2" t="s">
        <x:v>80</x:v>
      </x:c>
      <x:c r="G63" s="3">
        <x:v>11</x:v>
      </x:c>
      <x:c r="H63" s="3">
        <x:v>1</x:v>
      </x:c>
      <x:c r="I63" s="3">
        <x:v>30</x:v>
      </x:c>
      <x:c r="J63" s="4">
        <x:v>3.6630036630036618E-2</x:v>
      </x:c>
      <x:c r="K63" s="3">
        <x:v>0</x:v>
      </x:c>
      <x:c r="L63" s="2" t="s">
        <x:v>302</x:v>
      </x:c>
      <x:c r="M63" s="3">
        <x:v>787</x:v>
      </x:c>
      <x:c r="N63" s="3">
        <x:v>53</x:v>
      </x:c>
      <x:c r="O63" s="5">
        <x:v>96.04526908510492</x:v>
      </x:c>
      <x:c r="P63" s="5">
        <x:v>28.880562649311511</x:v>
      </x:c>
      <x:c r="Q63" s="5"/>
      <x:c r="R63" s="5">
        <x:v>67.51709537809279</x:v>
      </x:c>
      <x:c r="S63" s="5">
        <x:f t="shared" si="0"/>
        <x:v>37.108561824512606</x:v>
      </x:c>
      <x:c r="T63" s="5">
        <x:f t="shared" si="1"/>
        <x:v>37.108561824512606</x:v>
      </x:c>
      <x:c r="U63" s="5" t="e">
        <x:f>T63/[1]Model_Parameters!$B$22</x:f>
        <x:v>#NAME?</x:v>
      </x:c>
      <x:c r="V63" s="5">
        <x:v>444.19927367981268</x:v>
      </x:c>
      <x:c r="W63" s="5">
        <x:v>444.19927367981268</x:v>
      </x:c>
      <x:c r="X63" s="5">
        <x:v>90.503772766198566</x:v>
      </x:c>
      <x:c r="Y63" s="3">
        <x:v>0</x:v>
      </x:c>
      <x:c r="Z63" s="3">
        <x:v>0</x:v>
      </x:c>
      <x:c r="AA63" s="3"/>
      <x:c r="AB63" s="2"/>
      <x:c r="AC63" s="3"/>
      <x:c r="AD63" s="3"/>
      <x:c r="AE63" s="2" t="s">
        <x:v>65</x:v>
      </x:c>
      <x:c r="AF63" s="3">
        <x:v>1</x:v>
      </x:c>
      <x:c r="AG63" s="3">
        <x:v>0</x:v>
      </x:c>
      <x:c r="AH63" s="2" t="s">
        <x:v>302</x:v>
      </x:c>
      <x:c r="AI63" s="3">
        <x:v>53</x:v>
      </x:c>
      <x:c r="AJ63" s="3">
        <x:v>0</x:v>
      </x:c>
      <x:c r="AK63" s="2" t="s">
        <x:v>66</x:v>
      </x:c>
      <x:c r="AL63" s="3">
        <x:v>0</x:v>
      </x:c>
      <x:c r="AM63" s="2" t="s">
        <x:v>303</x:v>
      </x:c>
      <x:c r="AN63" s="3">
        <x:v>53</x:v>
      </x:c>
      <x:c r="AO63" s="3">
        <x:v>6</x:v>
      </x:c>
      <x:c r="AP63" s="3">
        <x:v>6</x:v>
      </x:c>
      <x:c r="AQ63" s="5">
        <x:v>41.002226415882561</x:v>
      </x:c>
      <x:c r="AR63" s="5">
        <x:v>37.108561824512591</x:v>
      </x:c>
      <x:c r="AS63" s="5">
        <x:f t="shared" si="2"/>
        <x:v>99.999999999999972</x:v>
      </x:c>
      <x:c r="AT63" s="5">
        <x:v>410.02226415882558</x:v>
      </x:c>
      <x:c r="AU63" s="5">
        <x:v>444.19927367981268</x:v>
      </x:c>
      <x:c r="AV63" s="5">
        <x:v>67.51709537809279</x:v>
      </x:c>
      <x:c r="AW63" s="2" t="b">
        <x:v>0</x:v>
      </x:c>
      <x:c r="AX63" s="2"/>
      <x:c r="AY63" s="2" t="s">
        <x:v>83</x:v>
      </x:c>
      <x:c r="AZ63" s="6">
        <x:v>53</x:v>
      </x:c>
      <x:c r="BA63" s="6"/>
      <x:c r="BB63" s="7"/>
      <x:c r="BC63" s="7"/>
      <x:c r="BD63" s="8"/>
      <x:c r="BE63" s="2" t="e">
        <x:f>IF(AE63="Blocked","No",IF(AJ63&lt;=[1]Model_Parameters!$B$20,"Yes","No"))</x:f>
        <x:v>#NAME?</x:v>
      </x:c>
      <x:c r="BF63" s="2" t="str">
        <x:f t="shared" si="3"/>
        <x:v>Yes</x:v>
      </x:c>
      <x:c r="BG63" s="2" t="str">
        <x:f t="shared" si="4"/>
        <x:v>Yes</x:v>
      </x:c>
      <x:c r="BH63" s="24" t="str">
        <x:v>11:00</x:v>
      </x:c>
      <x:c r="BI63" s="24" t="str">
        <x:v>17:15</x:v>
      </x:c>
    </x:row>
    <x:row r="64">
      <x:c r="A64" s="2" t="s">
        <x:v>59</x:v>
      </x:c>
      <x:c r="B64" s="3">
        <x:v>117</x:v>
      </x:c>
      <x:c r="C64" s="2" t="s">
        <x:v>304</x:v>
      </x:c>
      <x:c r="D64" s="2" t="s">
        <x:v>305</x:v>
      </x:c>
      <x:c r="E64" s="2" t="s">
        <x:v>62</x:v>
      </x:c>
      <x:c r="F64" s="2" t="s">
        <x:v>63</x:v>
      </x:c>
      <x:c r="G64" s="3">
        <x:v>52</x:v>
      </x:c>
      <x:c r="H64" s="3">
        <x:v>0</x:v>
      </x:c>
      <x:c r="I64" s="3">
        <x:v>120</x:v>
      </x:c>
      <x:c r="J64" s="4">
        <x:v>1.1627906976744189E-2</x:v>
      </x:c>
      <x:c r="K64" s="3">
        <x:v>0</x:v>
      </x:c>
      <x:c r="L64" s="2" t="s">
        <x:v>306</x:v>
      </x:c>
      <x:c r="M64" s="3">
        <x:v>821</x:v>
      </x:c>
      <x:c r="N64" s="3">
        <x:v>55</x:v>
      </x:c>
      <x:c r="O64" s="5">
        <x:v>65.647402481199805</x:v>
      </x:c>
      <x:c r="P64" s="5">
        <x:v>49.035098460507029</x:v>
      </x:c>
      <x:c r="Q64" s="5"/>
      <x:c r="R64" s="5">
        <x:v>94.960265553884383</x:v>
      </x:c>
      <x:c r="S64" s="5">
        <x:f t="shared" si="0"/>
        <x:v>30.148679281952958</x:v>
      </x:c>
      <x:c r="T64" s="5">
        <x:f t="shared" si="1"/>
        <x:v>30.148679281952958</x:v>
      </x:c>
      <x:c r="U64" s="5" t="e">
        <x:f>T64/[1]Model_Parameters!$B$22</x:f>
        <x:v>#NAME?</x:v>
      </x:c>
      <x:c r="V64" s="5">
        <x:v>364.3800465039136</x:v>
      </x:c>
      <x:c r="W64" s="5">
        <x:v>364.3800465039136</x:v>
      </x:c>
      <x:c r="X64" s="5">
        <x:v>94.319155309570732</x:v>
      </x:c>
      <x:c r="Y64" s="3">
        <x:v>1</x:v>
      </x:c>
      <x:c r="Z64" s="3">
        <x:v>0</x:v>
      </x:c>
      <x:c r="AA64" s="3"/>
      <x:c r="AB64" s="2"/>
      <x:c r="AC64" s="3"/>
      <x:c r="AD64" s="3"/>
      <x:c r="AE64" s="2" t="s">
        <x:v>65</x:v>
      </x:c>
      <x:c r="AF64" s="3">
        <x:v>3</x:v>
      </x:c>
      <x:c r="AG64" s="3">
        <x:v>0</x:v>
      </x:c>
      <x:c r="AH64" s="2" t="s">
        <x:v>306</x:v>
      </x:c>
      <x:c r="AI64" s="3">
        <x:v>55</x:v>
      </x:c>
      <x:c r="AJ64" s="3">
        <x:v>0</x:v>
      </x:c>
      <x:c r="AK64" s="2" t="s">
        <x:v>66</x:v>
      </x:c>
      <x:c r="AL64" s="3">
        <x:v>0</x:v>
      </x:c>
      <x:c r="AM64" s="2" t="s">
        <x:v>307</x:v>
      </x:c>
      <x:c r="AN64" s="3">
        <x:v>56</x:v>
      </x:c>
      <x:c r="AO64" s="3">
        <x:v>10</x:v>
      </x:c>
      <x:c r="AP64" s="3">
        <x:v>10</x:v>
      </x:c>
      <x:c r="AQ64" s="5">
        <x:v>31.96453486357052</x:v>
      </x:c>
      <x:c r="AR64" s="5">
        <x:v>30.148679281952969</x:v>
      </x:c>
      <x:c r="AS64" s="5">
        <x:f t="shared" si="2"/>
        <x:v>100.00000000000004</x:v>
      </x:c>
      <x:c r="AT64" s="5">
        <x:v>191.78720918142309</x:v>
      </x:c>
      <x:c r="AU64" s="5">
        <x:v>364.38004650391349</x:v>
      </x:c>
      <x:c r="AV64" s="5">
        <x:v>94.960265553884383</x:v>
      </x:c>
      <x:c r="AW64" s="2" t="b">
        <x:v>0</x:v>
      </x:c>
      <x:c r="AX64" s="2"/>
      <x:c r="AY64" s="2" t="s">
        <x:v>68</x:v>
      </x:c>
      <x:c r="AZ64" s="6">
        <x:v>55</x:v>
      </x:c>
      <x:c r="BA64" s="6"/>
      <x:c r="BB64" s="7"/>
      <x:c r="BC64" s="7"/>
      <x:c r="BD64" s="8"/>
      <x:c r="BE64" s="2" t="e">
        <x:f>IF(AE64="Blocked","No",IF(AJ64&lt;=[1]Model_Parameters!$B$20,"Yes","No"))</x:f>
        <x:v>#NAME?</x:v>
      </x:c>
      <x:c r="BF64" s="2" t="str">
        <x:f t="shared" si="3"/>
        <x:v>Yes</x:v>
      </x:c>
      <x:c r="BG64" s="2" t="str">
        <x:f t="shared" si="4"/>
        <x:v>Yes</x:v>
      </x:c>
      <x:c r="BH64" s="24"/>
      <x:c r="BI64" s="24"/>
    </x:row>
    <x:row r="65">
      <x:c r="A65" s="2" t="s">
        <x:v>59</x:v>
      </x:c>
      <x:c r="B65" s="3">
        <x:v>118</x:v>
      </x:c>
      <x:c r="C65" s="2" t="s">
        <x:v>308</x:v>
      </x:c>
      <x:c r="D65" s="2" t="s">
        <x:v>309</x:v>
      </x:c>
      <x:c r="E65" s="2" t="s">
        <x:v>62</x:v>
      </x:c>
      <x:c r="F65" s="2" t="s">
        <x:v>63</x:v>
      </x:c>
      <x:c r="G65" s="3">
        <x:v>53</x:v>
      </x:c>
      <x:c r="H65" s="3">
        <x:v>0</x:v>
      </x:c>
      <x:c r="I65" s="3">
        <x:v>120</x:v>
      </x:c>
      <x:c r="J65" s="4">
        <x:v>1.1627906976744189E-2</x:v>
      </x:c>
      <x:c r="K65" s="3">
        <x:v>0</x:v>
      </x:c>
      <x:c r="L65" s="2" t="s">
        <x:v>310</x:v>
      </x:c>
      <x:c r="M65" s="3">
        <x:v>823</x:v>
      </x:c>
      <x:c r="N65" s="3">
        <x:v>55</x:v>
      </x:c>
      <x:c r="O65" s="5">
        <x:v>77.809529474458913</x:v>
      </x:c>
      <x:c r="P65" s="5">
        <x:v>15.918352329361079</x:v>
      </x:c>
      <x:c r="Q65" s="5"/>
      <x:c r="R65" s="5">
        <x:v>70.119333096637035</x:v>
      </x:c>
      <x:c r="S65" s="5">
        <x:f t="shared" si="0"/>
        <x:v>42.173528105559392</x:v>
      </x:c>
      <x:c r="T65" s="5">
        <x:f t="shared" si="1"/>
        <x:v>42.173528105559392</x:v>
      </x:c>
      <x:c r="U65" s="5" t="e">
        <x:f>T65/[1]Model_Parameters!$B$22</x:f>
        <x:v>#NAME?</x:v>
      </x:c>
      <x:c r="V65" s="5">
        <x:v>341.21680679110102</x:v>
      </x:c>
      <x:c r="W65" s="5">
        <x:v>341.21680679110102</x:v>
      </x:c>
      <x:c r="X65" s="5">
        <x:v>94.262603791600839</x:v>
      </x:c>
      <x:c r="Y65" s="3">
        <x:v>2</x:v>
      </x:c>
      <x:c r="Z65" s="3">
        <x:v>0</x:v>
      </x:c>
      <x:c r="AA65" s="3"/>
      <x:c r="AB65" s="2"/>
      <x:c r="AC65" s="3"/>
      <x:c r="AD65" s="3"/>
      <x:c r="AE65" s="2" t="s">
        <x:v>65</x:v>
      </x:c>
      <x:c r="AF65" s="3">
        <x:v>4</x:v>
      </x:c>
      <x:c r="AG65" s="3">
        <x:v>0</x:v>
      </x:c>
      <x:c r="AH65" s="2" t="s">
        <x:v>310</x:v>
      </x:c>
      <x:c r="AI65" s="3">
        <x:v>55</x:v>
      </x:c>
      <x:c r="AJ65" s="3">
        <x:v>0</x:v>
      </x:c>
      <x:c r="AK65" s="2" t="s">
        <x:v>66</x:v>
      </x:c>
      <x:c r="AL65" s="3">
        <x:v>0</x:v>
      </x:c>
      <x:c r="AM65" s="2" t="s">
        <x:v>307</x:v>
      </x:c>
      <x:c r="AN65" s="3">
        <x:v>56</x:v>
      </x:c>
      <x:c r="AO65" s="3">
        <x:v>8</x:v>
      </x:c>
      <x:c r="AP65" s="3">
        <x:v>8</x:v>
      </x:c>
      <x:c r="AQ65" s="5">
        <x:v>44.740465899709442</x:v>
      </x:c>
      <x:c r="AR65" s="5">
        <x:v>42.173528105559392</x:v>
      </x:c>
      <x:c r="AS65" s="5">
        <x:f t="shared" si="2"/>
        <x:v>100</x:v>
      </x:c>
      <x:c r="AT65" s="5">
        <x:v>335.55349424782082</x:v>
      </x:c>
      <x:c r="AU65" s="5">
        <x:v>341.21680679110102</x:v>
      </x:c>
      <x:c r="AV65" s="5">
        <x:v>70.119333096637035</x:v>
      </x:c>
      <x:c r="AW65" s="2" t="b">
        <x:v>0</x:v>
      </x:c>
      <x:c r="AX65" s="2"/>
      <x:c r="AY65" s="2" t="s">
        <x:v>68</x:v>
      </x:c>
      <x:c r="AZ65" s="6">
        <x:v>55</x:v>
      </x:c>
      <x:c r="BA65" s="6"/>
      <x:c r="BB65" s="7"/>
      <x:c r="BC65" s="7"/>
      <x:c r="BD65" s="8"/>
      <x:c r="BE65" s="2" t="e">
        <x:f>IF(AE65="Blocked","No",IF(AJ65&lt;=[1]Model_Parameters!$B$20,"Yes","No"))</x:f>
        <x:v>#NAME?</x:v>
      </x:c>
      <x:c r="BF65" s="2" t="str">
        <x:f t="shared" si="3"/>
        <x:v>Yes</x:v>
      </x:c>
      <x:c r="BG65" s="2" t="str">
        <x:f t="shared" si="4"/>
        <x:v>Yes</x:v>
      </x:c>
      <x:c r="BH65" s="24"/>
      <x:c r="BI65" s="24"/>
    </x:row>
    <x:row r="66">
      <x:c r="A66" s="2" t="s">
        <x:v>59</x:v>
      </x:c>
      <x:c r="B66" s="3">
        <x:v>119</x:v>
      </x:c>
      <x:c r="C66" s="2" t="s">
        <x:v>311</x:v>
      </x:c>
      <x:c r="D66" s="2" t="s">
        <x:v>312</x:v>
      </x:c>
      <x:c r="E66" s="2" t="s">
        <x:v>79</x:v>
      </x:c>
      <x:c r="F66" s="2" t="s">
        <x:v>80</x:v>
      </x:c>
      <x:c r="G66" s="3">
        <x:v>12</x:v>
      </x:c>
      <x:c r="H66" s="3">
        <x:v>1</x:v>
      </x:c>
      <x:c r="I66" s="3">
        <x:v>30</x:v>
      </x:c>
      <x:c r="J66" s="4">
        <x:v>3.4188034188034178E-2</x:v>
      </x:c>
      <x:c r="K66" s="3">
        <x:v>0</x:v>
      </x:c>
      <x:c r="L66" s="2" t="s">
        <x:v>313</x:v>
      </x:c>
      <x:c r="M66" s="3">
        <x:v>850</x:v>
      </x:c>
      <x:c r="N66" s="3">
        <x:v>57</x:v>
      </x:c>
      <x:c r="O66" s="5">
        <x:v>73.709327595437756</x:v>
      </x:c>
      <x:c r="P66" s="5">
        <x:v>42.203496791902772</x:v>
      </x:c>
      <x:c r="Q66" s="5"/>
      <x:c r="R66" s="5">
        <x:v>62.009195108226258</x:v>
      </x:c>
      <x:c r="S66" s="5" t="n">
        <x:f t="shared" ref="S66:S129" si="5">O66*(R66-P66)/100</x:f>
        <x:v>14.598647054542978</x:v>
      </x:c>
      <x:c r="T66" s="5" t="n">
        <x:f t="shared" ref="T66:T129" si="6">O66*(R66-IF(Q66="",P66,Q66))/100</x:f>
        <x:v>14.598647054542978</x:v>
      </x:c>
      <x:c r="U66" s="5" t="e">
        <x:f>T66/[1]Model_Parameters!$B$22</x:f>
        <x:v>#NAME?</x:v>
      </x:c>
      <x:c r="V66" s="5">
        <x:v>347.22409908272567</x:v>
      </x:c>
      <x:c r="W66" s="5">
        <x:v>347.22409908272567</x:v>
      </x:c>
      <x:c r="X66" s="5">
        <x:v>91.174206040648016</x:v>
      </x:c>
      <x:c r="Y66" s="3">
        <x:v>1</x:v>
      </x:c>
      <x:c r="Z66" s="3">
        <x:v>0</x:v>
      </x:c>
      <x:c r="AA66" s="3"/>
      <x:c r="AB66" s="2"/>
      <x:c r="AC66" s="3"/>
      <x:c r="AD66" s="3"/>
      <x:c r="AE66" s="2" t="s">
        <x:v>65</x:v>
      </x:c>
      <x:c r="AF66" s="3">
        <x:v>5</x:v>
      </x:c>
      <x:c r="AG66" s="3">
        <x:v>0</x:v>
      </x:c>
      <x:c r="AH66" s="2" t="s">
        <x:v>313</x:v>
      </x:c>
      <x:c r="AI66" s="3">
        <x:v>57</x:v>
      </x:c>
      <x:c r="AJ66" s="3">
        <x:v>0</x:v>
      </x:c>
      <x:c r="AK66" s="2" t="s">
        <x:v>66</x:v>
      </x:c>
      <x:c r="AL66" s="3">
        <x:v>0</x:v>
      </x:c>
      <x:c r="AM66" s="2" t="s">
        <x:v>314</x:v>
      </x:c>
      <x:c r="AN66" s="3">
        <x:v>57</x:v>
      </x:c>
      <x:c r="AO66" s="3">
        <x:v>3</x:v>
      </x:c>
      <x:c r="AP66" s="3">
        <x:v>3</x:v>
      </x:c>
      <x:c r="AQ66" s="5">
        <x:v>16.011817035219909</x:v>
      </x:c>
      <x:c r="AR66" s="5">
        <x:v>14.59864705454298</x:v>
      </x:c>
      <x:c r="AS66" s="5" t="n">
        <x:f t="shared" ref="AS66:AS129" si="7">IF(S66=0,100,IFERROR(AR66/S66*100,0))</x:f>
        <x:v>100.00000000000003</x:v>
      </x:c>
      <x:c r="AT66" s="5">
        <x:v>320.23634070439812</x:v>
      </x:c>
      <x:c r="AU66" s="5">
        <x:v>347.22409908272562</x:v>
      </x:c>
      <x:c r="AV66" s="5">
        <x:v>62.009195108226258</x:v>
      </x:c>
      <x:c r="AW66" s="2" t="b">
        <x:v>0</x:v>
      </x:c>
      <x:c r="AX66" s="2"/>
      <x:c r="AY66" s="2" t="s">
        <x:v>83</x:v>
      </x:c>
      <x:c r="AZ66" s="6">
        <x:v>57</x:v>
      </x:c>
      <x:c r="BA66" s="6"/>
      <x:c r="BB66" s="7"/>
      <x:c r="BC66" s="7"/>
      <x:c r="BD66" s="8"/>
      <x:c r="BE66" s="2" t="e">
        <x:f>IF(AE66="Blocked","No",IF(AJ66&lt;=[1]Model_Parameters!$B$20,"Yes","No"))</x:f>
        <x:v>#NAME?</x:v>
      </x:c>
      <x:c r="BF66" s="2" t="str">
        <x:f t="shared" ref="BF66:BF129" si="8">IF(AK66="Completed","Yes","No")</x:f>
        <x:v>Yes</x:v>
      </x:c>
      <x:c r="BG66" s="2" t="e">
        <x:f t="shared" ref="BG66:BG129" si="9">IF(AND(BE66="Yes",BF66="Yes"),"Yes","No")</x:f>
        <x:v>#NAME?</x:v>
      </x:c>
      <x:c r="BH66" s="24" t="str">
        <x:v>12:00</x:v>
      </x:c>
      <x:c r="BI66" s="24" t="str">
        <x:v>18:15</x:v>
      </x:c>
    </x:row>
    <x:row r="67">
      <x:c r="A67" s="2" t="s">
        <x:v>59</x:v>
      </x:c>
      <x:c r="B67" s="3">
        <x:v>120</x:v>
      </x:c>
      <x:c r="C67" s="2" t="s">
        <x:v>315</x:v>
      </x:c>
      <x:c r="D67" s="2" t="s">
        <x:v>316</x:v>
      </x:c>
      <x:c r="E67" s="2" t="s">
        <x:v>79</x:v>
      </x:c>
      <x:c r="F67" s="2" t="s">
        <x:v>80</x:v>
      </x:c>
      <x:c r="G67" s="3">
        <x:v>13</x:v>
      </x:c>
      <x:c r="H67" s="3">
        <x:v>1</x:v>
      </x:c>
      <x:c r="I67" s="3">
        <x:v>30</x:v>
      </x:c>
      <x:c r="J67" s="4">
        <x:v>3.4188034188034178E-2</x:v>
      </x:c>
      <x:c r="K67" s="3">
        <x:v>0</x:v>
      </x:c>
      <x:c r="L67" s="2" t="s">
        <x:v>317</x:v>
      </x:c>
      <x:c r="M67" s="3">
        <x:v>857</x:v>
      </x:c>
      <x:c r="N67" s="3">
        <x:v>58</x:v>
      </x:c>
      <x:c r="O67" s="5">
        <x:v>58.493747408380891</x:v>
      </x:c>
      <x:c r="P67" s="5">
        <x:v>30.999046552866599</x:v>
      </x:c>
      <x:c r="Q67" s="5"/>
      <x:c r="R67" s="5">
        <x:v>88.172943828749865</x:v>
      </x:c>
      <x:c r="S67" s="5">
        <x:f t="shared" si="5"/>
        <x:v>33.443155056082318</x:v>
      </x:c>
      <x:c r="T67" s="5">
        <x:f t="shared" si="6"/>
        <x:v>33.443155056082318</x:v>
      </x:c>
      <x:c r="U67" s="5" t="e">
        <x:f>T67/[1]Model_Parameters!$B$22</x:f>
        <x:v>#NAME?</x:v>
      </x:c>
      <x:c r="V67" s="5">
        <x:v>375.95622793869637</x:v>
      </x:c>
      <x:c r="W67" s="5">
        <x:v>375.95622793869637</x:v>
      </x:c>
      <x:c r="X67" s="5">
        <x:v>91.577139651739387</x:v>
      </x:c>
      <x:c r="Y67" s="3">
        <x:v>1</x:v>
      </x:c>
      <x:c r="Z67" s="3">
        <x:v>0</x:v>
      </x:c>
      <x:c r="AA67" s="3"/>
      <x:c r="AB67" s="2"/>
      <x:c r="AC67" s="3"/>
      <x:c r="AD67" s="3"/>
      <x:c r="AE67" s="2" t="s">
        <x:v>65</x:v>
      </x:c>
      <x:c r="AF67" s="3">
        <x:v>6</x:v>
      </x:c>
      <x:c r="AG67" s="3">
        <x:v>0</x:v>
      </x:c>
      <x:c r="AH67" s="2" t="s">
        <x:v>317</x:v>
      </x:c>
      <x:c r="AI67" s="3">
        <x:v>58</x:v>
      </x:c>
      <x:c r="AJ67" s="3">
        <x:v>0</x:v>
      </x:c>
      <x:c r="AK67" s="2" t="s">
        <x:v>66</x:v>
      </x:c>
      <x:c r="AL67" s="3">
        <x:v>0</x:v>
      </x:c>
      <x:c r="AM67" s="2" t="s">
        <x:v>318</x:v>
      </x:c>
      <x:c r="AN67" s="3">
        <x:v>58</x:v>
      </x:c>
      <x:c r="AO67" s="3">
        <x:v>7</x:v>
      </x:c>
      <x:c r="AP67" s="3">
        <x:v>7</x:v>
      </x:c>
      <x:c r="AQ67" s="5">
        <x:v>36.519108571488466</x:v>
      </x:c>
      <x:c r="AR67" s="5">
        <x:v>33.443155056082311</x:v>
      </x:c>
      <x:c r="AS67" s="5">
        <x:f t="shared" si="7"/>
        <x:v>99.999999999999972</x:v>
      </x:c>
      <x:c r="AT67" s="5">
        <x:v>313.02093061275832</x:v>
      </x:c>
      <x:c r="AU67" s="5">
        <x:v>375.95622793869637</x:v>
      </x:c>
      <x:c r="AV67" s="5">
        <x:v>88.172943828749865</x:v>
      </x:c>
      <x:c r="AW67" s="2" t="b">
        <x:v>0</x:v>
      </x:c>
      <x:c r="AX67" s="2"/>
      <x:c r="AY67" s="2" t="s">
        <x:v>83</x:v>
      </x:c>
      <x:c r="AZ67" s="6">
        <x:v>58</x:v>
      </x:c>
      <x:c r="BA67" s="6"/>
      <x:c r="BB67" s="7"/>
      <x:c r="BC67" s="7"/>
      <x:c r="BD67" s="8"/>
      <x:c r="BE67" s="2" t="e">
        <x:f>IF(AE67="Blocked","No",IF(AJ67&lt;=[1]Model_Parameters!$B$20,"Yes","No"))</x:f>
        <x:v>#NAME?</x:v>
      </x:c>
      <x:c r="BF67" s="2" t="str">
        <x:f t="shared" si="8"/>
        <x:v>Yes</x:v>
      </x:c>
      <x:c r="BG67" s="2" t="str">
        <x:f t="shared" si="9"/>
        <x:v>Yes</x:v>
      </x:c>
      <x:c r="BH67" s="24" t="str">
        <x:v>12:15</x:v>
      </x:c>
      <x:c r="BI67" s="24" t="str">
        <x:v>18:30</x:v>
      </x:c>
    </x:row>
    <x:row r="68">
      <x:c r="A68" s="2" t="s">
        <x:v>59</x:v>
      </x:c>
      <x:c r="B68" s="3">
        <x:v>125</x:v>
      </x:c>
      <x:c r="C68" s="2" t="s">
        <x:v>319</x:v>
      </x:c>
      <x:c r="D68" s="2" t="s">
        <x:v>320</x:v>
      </x:c>
      <x:c r="E68" s="2" t="s">
        <x:v>79</x:v>
      </x:c>
      <x:c r="F68" s="2" t="s">
        <x:v>80</x:v>
      </x:c>
      <x:c r="G68" s="3">
        <x:v>14</x:v>
      </x:c>
      <x:c r="H68" s="3">
        <x:v>1</x:v>
      </x:c>
      <x:c r="I68" s="3">
        <x:v>30</x:v>
      </x:c>
      <x:c r="J68" s="4">
        <x:v>2.686202686202686E-2</x:v>
      </x:c>
      <x:c r="K68" s="3">
        <x:v>0</x:v>
      </x:c>
      <x:c r="L68" s="2" t="s">
        <x:v>321</x:v>
      </x:c>
      <x:c r="M68" s="3">
        <x:v>1002</x:v>
      </x:c>
      <x:c r="N68" s="3">
        <x:v>67</x:v>
      </x:c>
      <x:c r="O68" s="5">
        <x:v>72.6890909153922</x:v>
      </x:c>
      <x:c r="P68" s="5">
        <x:v>23.13748276810518</x:v>
      </x:c>
      <x:c r="Q68" s="5"/>
      <x:c r="R68" s="5">
        <x:v>89.28008029666735</x:v>
      </x:c>
      <x:c r="S68" s="5">
        <x:f t="shared" si="5"/>
        <x:v>48.078452851338504</x:v>
      </x:c>
      <x:c r="T68" s="5">
        <x:f t="shared" si="6"/>
        <x:v>48.078452851338504</x:v>
      </x:c>
      <x:c r="U68" s="5" t="e">
        <x:f>T68/[1]Model_Parameters!$B$22</x:f>
        <x:v>#NAME?</x:v>
      </x:c>
      <x:c r="V68" s="5">
        <x:v>286.64583600366268</x:v>
      </x:c>
      <x:c r="W68" s="5">
        <x:v>286.64583600366268</x:v>
      </x:c>
      <x:c r="X68" s="5">
        <x:v>92.022993660105001</x:v>
      </x:c>
      <x:c r="Y68" s="3">
        <x:v>0</x:v>
      </x:c>
      <x:c r="Z68" s="3">
        <x:v>0</x:v>
      </x:c>
      <x:c r="AA68" s="3"/>
      <x:c r="AB68" s="2"/>
      <x:c r="AC68" s="3"/>
      <x:c r="AD68" s="3"/>
      <x:c r="AE68" s="2" t="s">
        <x:v>65</x:v>
      </x:c>
      <x:c r="AF68" s="3">
        <x:v>1</x:v>
      </x:c>
      <x:c r="AG68" s="3">
        <x:v>0</x:v>
      </x:c>
      <x:c r="AH68" s="2" t="s">
        <x:v>321</x:v>
      </x:c>
      <x:c r="AI68" s="3">
        <x:v>67</x:v>
      </x:c>
      <x:c r="AJ68" s="3">
        <x:v>0</x:v>
      </x:c>
      <x:c r="AK68" s="2" t="s">
        <x:v>66</x:v>
      </x:c>
      <x:c r="AL68" s="3">
        <x:v>0</x:v>
      </x:c>
      <x:c r="AM68" s="2" t="s">
        <x:v>322</x:v>
      </x:c>
      <x:c r="AN68" s="3">
        <x:v>68</x:v>
      </x:c>
      <x:c r="AO68" s="3">
        <x:v>14</x:v>
      </x:c>
      <x:c r="AP68" s="3">
        <x:v>14</x:v>
      </x:c>
      <x:c r="AQ68" s="5">
        <x:v>52.246129949782429</x:v>
      </x:c>
      <x:c r="AR68" s="5">
        <x:v>48.078452851338497</x:v>
      </x:c>
      <x:c r="AS68" s="5">
        <x:f t="shared" si="7"/>
        <x:v>99.999999999999986</x:v>
      </x:c>
      <x:c r="AT68" s="5">
        <x:v>223.91198549906761</x:v>
      </x:c>
      <x:c r="AU68" s="5">
        <x:v>286.64583600366268</x:v>
      </x:c>
      <x:c r="AV68" s="5">
        <x:v>89.28008029666735</x:v>
      </x:c>
      <x:c r="AW68" s="2" t="b">
        <x:v>0</x:v>
      </x:c>
      <x:c r="AX68" s="2"/>
      <x:c r="AY68" s="2" t="s">
        <x:v>83</x:v>
      </x:c>
      <x:c r="AZ68" s="6">
        <x:v>67</x:v>
      </x:c>
      <x:c r="BA68" s="6"/>
      <x:c r="BB68" s="7"/>
      <x:c r="BC68" s="7"/>
      <x:c r="BD68" s="8"/>
      <x:c r="BE68" s="2" t="e">
        <x:f>IF(AE68="Blocked","No",IF(AJ68&lt;=[1]Model_Parameters!$B$20,"Yes","No"))</x:f>
        <x:v>#NAME?</x:v>
      </x:c>
      <x:c r="BF68" s="2" t="str">
        <x:f t="shared" si="8"/>
        <x:v>Yes</x:v>
      </x:c>
      <x:c r="BG68" s="2" t="str">
        <x:f t="shared" si="9"/>
        <x:v>Yes</x:v>
      </x:c>
      <x:c r="BH68" s="24" t="str">
        <x:v>14:30</x:v>
      </x:c>
      <x:c r="BI68" s="24" t="str">
        <x:v>21:00</x:v>
      </x:c>
    </x:row>
    <x:row r="69">
      <x:c r="A69" s="2" t="s">
        <x:v>59</x:v>
      </x:c>
      <x:c r="B69" s="3">
        <x:v>126</x:v>
      </x:c>
      <x:c r="C69" s="2" t="s">
        <x:v>323</x:v>
      </x:c>
      <x:c r="D69" s="2" t="s">
        <x:v>324</x:v>
      </x:c>
      <x:c r="E69" s="2" t="s">
        <x:v>79</x:v>
      </x:c>
      <x:c r="F69" s="2" t="s">
        <x:v>80</x:v>
      </x:c>
      <x:c r="G69" s="3">
        <x:v>15</x:v>
      </x:c>
      <x:c r="H69" s="3">
        <x:v>1</x:v>
      </x:c>
      <x:c r="I69" s="3">
        <x:v>30</x:v>
      </x:c>
      <x:c r="J69" s="4">
        <x:v>4.2735042735042729E-2</x:v>
      </x:c>
      <x:c r="K69" s="3">
        <x:v>0</x:v>
      </x:c>
      <x:c r="L69" s="2" t="s">
        <x:v>325</x:v>
      </x:c>
      <x:c r="M69" s="3">
        <x:v>1020</x:v>
      </x:c>
      <x:c r="N69" s="3">
        <x:v>69</x:v>
      </x:c>
      <x:c r="O69" s="5">
        <x:v>100.2068065590698</x:v>
      </x:c>
      <x:c r="P69" s="5">
        <x:v>10.57731497488597</x:v>
      </x:c>
      <x:c r="Q69" s="5"/>
      <x:c r="R69" s="5">
        <x:v>82.354849957178558</x:v>
      </x:c>
      <x:c r="S69" s="5">
        <x:f t="shared" si="5"/>
        <x:v>71.925975632574605</x:v>
      </x:c>
      <x:c r="T69" s="5">
        <x:f t="shared" si="6"/>
        <x:v>71.925975632574605</x:v>
      </x:c>
      <x:c r="U69" s="5" t="e">
        <x:f>T69/[1]Model_Parameters!$B$22</x:f>
        <x:v>#NAME?</x:v>
      </x:c>
      <x:c r="V69" s="5">
        <x:v>194.36623103348981</x:v>
      </x:c>
      <x:c r="W69" s="5">
        <x:v>194.36623103348981</x:v>
      </x:c>
      <x:c r="X69" s="5">
        <x:v>91.145230774464835</x:v>
      </x:c>
      <x:c r="Y69" s="3">
        <x:v>0</x:v>
      </x:c>
      <x:c r="Z69" s="3">
        <x:v>0</x:v>
      </x:c>
      <x:c r="AA69" s="3"/>
      <x:c r="AB69" s="2"/>
      <x:c r="AC69" s="3"/>
      <x:c r="AD69" s="3"/>
      <x:c r="AE69" s="2" t="s">
        <x:v>65</x:v>
      </x:c>
      <x:c r="AF69" s="3">
        <x:v>2</x:v>
      </x:c>
      <x:c r="AG69" s="3">
        <x:v>0</x:v>
      </x:c>
      <x:c r="AH69" s="2" t="s">
        <x:v>325</x:v>
      </x:c>
      <x:c r="AI69" s="3">
        <x:v>69</x:v>
      </x:c>
      <x:c r="AJ69" s="3">
        <x:v>0</x:v>
      </x:c>
      <x:c r="AK69" s="2" t="s">
        <x:v>66</x:v>
      </x:c>
      <x:c r="AL69" s="3">
        <x:v>0</x:v>
      </x:c>
      <x:c r="AM69" s="2" t="s">
        <x:v>326</x:v>
      </x:c>
      <x:c r="AN69" s="3">
        <x:v>70</x:v>
      </x:c>
      <x:c r="AO69" s="3">
        <x:v>27</x:v>
      </x:c>
      <x:c r="AP69" s="3">
        <x:v>27</x:v>
      </x:c>
      <x:c r="AQ69" s="5">
        <x:v>78.913592100668936</x:v>
      </x:c>
      <x:c r="AR69" s="5">
        <x:v>71.925975632574506</x:v>
      </x:c>
      <x:c r="AS69" s="5">
        <x:f t="shared" si="7"/>
        <x:v>99.999999999999872</x:v>
      </x:c>
      <x:c r="AT69" s="5">
        <x:v>175.36353800148649</x:v>
      </x:c>
      <x:c r="AU69" s="5">
        <x:v>194.36623103348981</x:v>
      </x:c>
      <x:c r="AV69" s="5">
        <x:v>82.354849957178558</x:v>
      </x:c>
      <x:c r="AW69" s="2" t="b">
        <x:v>0</x:v>
      </x:c>
      <x:c r="AX69" s="2"/>
      <x:c r="AY69" s="2" t="s">
        <x:v>83</x:v>
      </x:c>
      <x:c r="AZ69" s="6">
        <x:v>69</x:v>
      </x:c>
      <x:c r="BA69" s="6"/>
      <x:c r="BB69" s="7"/>
      <x:c r="BC69" s="7"/>
      <x:c r="BD69" s="8"/>
      <x:c r="BE69" s="2" t="e">
        <x:f>IF(AE69="Blocked","No",IF(AJ69&lt;=[1]Model_Parameters!$B$20,"Yes","No"))</x:f>
        <x:v>#NAME?</x:v>
      </x:c>
      <x:c r="BF69" s="2" t="str">
        <x:f t="shared" si="8"/>
        <x:v>Yes</x:v>
      </x:c>
      <x:c r="BG69" s="2" t="str">
        <x:f t="shared" si="9"/>
        <x:v>Yes</x:v>
      </x:c>
      <x:c r="BH69" s="24" t="str">
        <x:v>15:00</x:v>
      </x:c>
      <x:c r="BI69" s="24" t="str">
        <x:v>21:30</x:v>
      </x:c>
    </x:row>
    <x:row r="70">
      <x:c r="A70" s="2" t="s">
        <x:v>59</x:v>
      </x:c>
      <x:c r="B70" s="3">
        <x:v>127</x:v>
      </x:c>
      <x:c r="C70" s="2" t="s">
        <x:v>327</x:v>
      </x:c>
      <x:c r="D70" s="2" t="s">
        <x:v>328</x:v>
      </x:c>
      <x:c r="E70" s="2" t="s">
        <x:v>79</x:v>
      </x:c>
      <x:c r="F70" s="2" t="s">
        <x:v>80</x:v>
      </x:c>
      <x:c r="G70" s="3">
        <x:v>16</x:v>
      </x:c>
      <x:c r="H70" s="3">
        <x:v>1</x:v>
      </x:c>
      <x:c r="I70" s="3">
        <x:v>30</x:v>
      </x:c>
      <x:c r="J70" s="4">
        <x:v>4.2735042735042729E-2</x:v>
      </x:c>
      <x:c r="K70" s="3">
        <x:v>0</x:v>
      </x:c>
      <x:c r="L70" s="2" t="s">
        <x:v>329</x:v>
      </x:c>
      <x:c r="M70" s="3">
        <x:v>1040</x:v>
      </x:c>
      <x:c r="N70" s="3">
        <x:v>70</x:v>
      </x:c>
      <x:c r="O70" s="5">
        <x:v>123.0880664427401</x:v>
      </x:c>
      <x:c r="P70" s="5">
        <x:v>30.797093715568231</x:v>
      </x:c>
      <x:c r="Q70" s="5"/>
      <x:c r="R70" s="5">
        <x:v>89.952942967527378</x:v>
      </x:c>
      <x:c r="S70" s="5">
        <x:f t="shared" si="5"/>
        <x:v>72.813791032018642</x:v>
      </x:c>
      <x:c r="T70" s="5">
        <x:f t="shared" si="6"/>
        <x:v>72.813791032018642</x:v>
      </x:c>
      <x:c r="U70" s="5" t="e">
        <x:f>T70/[1]Model_Parameters!$B$22</x:f>
        <x:v>#NAME?</x:v>
      </x:c>
      <x:c r="V70" s="5">
        <x:v>261.59737407165971</x:v>
      </x:c>
      <x:c r="W70" s="5">
        <x:v>261.59737407165971</x:v>
      </x:c>
      <x:c r="X70" s="5">
        <x:v>92.892050808303523</x:v>
      </x:c>
      <x:c r="Y70" s="3">
        <x:v>1</x:v>
      </x:c>
      <x:c r="Z70" s="3">
        <x:v>0</x:v>
      </x:c>
      <x:c r="AA70" s="3"/>
      <x:c r="AB70" s="2"/>
      <x:c r="AC70" s="3"/>
      <x:c r="AD70" s="3"/>
      <x:c r="AE70" s="2" t="s">
        <x:v>65</x:v>
      </x:c>
      <x:c r="AF70" s="3">
        <x:v>3</x:v>
      </x:c>
      <x:c r="AG70" s="3">
        <x:v>0</x:v>
      </x:c>
      <x:c r="AH70" s="2" t="s">
        <x:v>329</x:v>
      </x:c>
      <x:c r="AI70" s="3">
        <x:v>70</x:v>
      </x:c>
      <x:c r="AJ70" s="3">
        <x:v>0</x:v>
      </x:c>
      <x:c r="AK70" s="2" t="s">
        <x:v>66</x:v>
      </x:c>
      <x:c r="AL70" s="3">
        <x:v>0</x:v>
      </x:c>
      <x:c r="AM70" s="2" t="s">
        <x:v>330</x:v>
      </x:c>
      <x:c r="AN70" s="3">
        <x:v>71</x:v>
      </x:c>
      <x:c r="AO70" s="3">
        <x:v>24</x:v>
      </x:c>
      <x:c r="AP70" s="3">
        <x:v>24</x:v>
      </x:c>
      <x:c r="AQ70" s="5">
        <x:v>78.385384323445109</x:v>
      </x:c>
      <x:c r="AR70" s="5">
        <x:v>72.813791032018599</x:v>
      </x:c>
      <x:c r="AS70" s="5">
        <x:f t="shared" si="7"/>
        <x:v>99.999999999999943</x:v>
      </x:c>
      <x:c r="AT70" s="5">
        <x:v>195.96346080861281</x:v>
      </x:c>
      <x:c r="AU70" s="5">
        <x:v>261.59737407165971</x:v>
      </x:c>
      <x:c r="AV70" s="5">
        <x:v>89.952942967527378</x:v>
      </x:c>
      <x:c r="AW70" s="2" t="b">
        <x:v>0</x:v>
      </x:c>
      <x:c r="AX70" s="2"/>
      <x:c r="AY70" s="2" t="s">
        <x:v>83</x:v>
      </x:c>
      <x:c r="AZ70" s="6">
        <x:v>70</x:v>
      </x:c>
      <x:c r="BA70" s="6"/>
      <x:c r="BB70" s="7"/>
      <x:c r="BC70" s="7"/>
      <x:c r="BD70" s="8"/>
      <x:c r="BE70" s="2" t="e">
        <x:f>IF(AE70="Blocked","No",IF(AJ70&lt;=[1]Model_Parameters!$B$20,"Yes","No"))</x:f>
        <x:v>#NAME?</x:v>
      </x:c>
      <x:c r="BF70" s="2" t="str">
        <x:f t="shared" si="8"/>
        <x:v>Yes</x:v>
      </x:c>
      <x:c r="BG70" s="2" t="str">
        <x:f t="shared" si="9"/>
        <x:v>Yes</x:v>
      </x:c>
      <x:c r="BH70" s="24" t="str">
        <x:v>15:15</x:v>
      </x:c>
      <x:c r="BI70" s="24" t="str">
        <x:v>21:45</x:v>
      </x:c>
    </x:row>
    <x:row r="71">
      <x:c r="A71" s="2" t="s">
        <x:v>59</x:v>
      </x:c>
      <x:c r="B71" s="3">
        <x:v>129</x:v>
      </x:c>
      <x:c r="C71" s="2" t="s">
        <x:v>331</x:v>
      </x:c>
      <x:c r="D71" s="2" t="s">
        <x:v>332</x:v>
      </x:c>
      <x:c r="E71" s="2" t="s">
        <x:v>79</x:v>
      </x:c>
      <x:c r="F71" s="2" t="s">
        <x:v>80</x:v>
      </x:c>
      <x:c r="G71" s="3">
        <x:v>17</x:v>
      </x:c>
      <x:c r="H71" s="3">
        <x:v>1</x:v>
      </x:c>
      <x:c r="I71" s="3">
        <x:v>30</x:v>
      </x:c>
      <x:c r="J71" s="4">
        <x:v>4.2735042735042729E-2</x:v>
      </x:c>
      <x:c r="K71" s="3">
        <x:v>0</x:v>
      </x:c>
      <x:c r="L71" s="2" t="s">
        <x:v>333</x:v>
      </x:c>
      <x:c r="M71" s="3">
        <x:v>1051</x:v>
      </x:c>
      <x:c r="N71" s="3">
        <x:v>71</x:v>
      </x:c>
      <x:c r="O71" s="5">
        <x:v>95.26876678434509</x:v>
      </x:c>
      <x:c r="P71" s="5">
        <x:v>25.17939319021994</x:v>
      </x:c>
      <x:c r="Q71" s="5"/>
      <x:c r="R71" s="5">
        <x:v>93.472528617194044</x:v>
      </x:c>
      <x:c r="S71" s="5" t="n">
        <x:f t="shared" si="5">O71*(R71-P71)/100</x:f>
        <x:v>65.06202791964091</x:v>
      </x:c>
      <x:c r="T71" s="5" t="n">
        <x:f t="shared" si="6">O71*(R71-IF(Q71="",P71,Q71))/100</x:f>
        <x:v>65.06202791964091</x:v>
      </x:c>
      <x:c r="U71" s="5" t="e">
        <x:f>T71/[1]Model_Parameters!$B$22</x:f>
        <x:v>#NAME?</x:v>
      </x:c>
      <x:c r="V71" s="5">
        <x:v>199.4370728629905</x:v>
      </x:c>
      <x:c r="W71" s="5">
        <x:v>199.4370728629905</x:v>
      </x:c>
      <x:c r="X71" s="5">
        <x:v>90.617593090201481</x:v>
      </x:c>
      <x:c r="Y71" s="3">
        <x:v>2</x:v>
      </x:c>
      <x:c r="Z71" s="3">
        <x:v>0</x:v>
      </x:c>
      <x:c r="AA71" s="3"/>
      <x:c r="AB71" s="2"/>
      <x:c r="AC71" s="3"/>
      <x:c r="AD71" s="3"/>
      <x:c r="AE71" s="2" t="s">
        <x:v>65</x:v>
      </x:c>
      <x:c r="AF71" s="3">
        <x:v>5</x:v>
      </x:c>
      <x:c r="AG71" s="3">
        <x:v>0</x:v>
      </x:c>
      <x:c r="AH71" s="2" t="s">
        <x:v>333</x:v>
      </x:c>
      <x:c r="AI71" s="3">
        <x:v>71</x:v>
      </x:c>
      <x:c r="AJ71" s="3">
        <x:v>0</x:v>
      </x:c>
      <x:c r="AK71" s="2" t="s">
        <x:v>66</x:v>
      </x:c>
      <x:c r="AL71" s="3">
        <x:v>0</x:v>
      </x:c>
      <x:c r="AM71" s="2" t="s">
        <x:v>334</x:v>
      </x:c>
      <x:c r="AN71" s="3">
        <x:v>73</x:v>
      </x:c>
      <x:c r="AO71" s="3">
        <x:v>32</x:v>
      </x:c>
      <x:c r="AP71" s="3">
        <x:v>32</x:v>
      </x:c>
      <x:c r="AQ71" s="5">
        <x:v>71.798450721238652</x:v>
      </x:c>
      <x:c r="AR71" s="5">
        <x:v>65.062027919640911</x:v>
      </x:c>
      <x:c r="AS71" s="5" t="n">
        <x:f t="shared" si="7">IF(S71=0,100,IFERROR(AR71/S71*100,0))</x:f>
        <x:v>100</x:v>
      </x:c>
      <x:c r="AT71" s="5">
        <x:v>134.6220951023225</x:v>
      </x:c>
      <x:c r="AU71" s="5">
        <x:v>199.4370728629905</x:v>
      </x:c>
      <x:c r="AV71" s="5">
        <x:v>93.472528617194044</x:v>
      </x:c>
      <x:c r="AW71" s="2" t="b">
        <x:v>0</x:v>
      </x:c>
      <x:c r="AX71" s="2"/>
      <x:c r="AY71" s="2" t="s">
        <x:v>83</x:v>
      </x:c>
      <x:c r="AZ71" s="6">
        <x:v>71</x:v>
      </x:c>
      <x:c r="BA71" s="6"/>
      <x:c r="BB71" s="7"/>
      <x:c r="BC71" s="7"/>
      <x:c r="BD71" s="8"/>
      <x:c r="BE71" s="2" t="e">
        <x:f>IF(AE71="Blocked","No",IF(AJ71&lt;=[1]Model_Parameters!$B$20,"Yes","No"))</x:f>
        <x:v>#NAME?</x:v>
      </x:c>
      <x:c r="BF71" s="2" t="str">
        <x:f t="shared" si="8">IF(AK71="Completed","Yes","No")</x:f>
        <x:v>Yes</x:v>
      </x:c>
      <x:c r="BG71" s="2" t="e">
        <x:f t="shared" si="9">IF(AND(BE71="Yes",BF71="Yes"),"Yes","No")</x:f>
        <x:v>#NAME?</x:v>
      </x:c>
      <x:c r="BH71" s="24" t="str">
        <x:v>15:30</x:v>
      </x:c>
      <x:c r="BI71" s="24" t="str">
        <x:v>22:15</x:v>
      </x:c>
    </x:row>
    <x:row r="72">
      <x:c r="A72" s="2" t="s">
        <x:v>59</x:v>
      </x:c>
      <x:c r="B72" s="3">
        <x:v>131</x:v>
      </x:c>
      <x:c r="C72" s="2" t="s">
        <x:v>335</x:v>
      </x:c>
      <x:c r="D72" s="2" t="s">
        <x:v>336</x:v>
      </x:c>
      <x:c r="E72" s="2" t="s">
        <x:v>62</x:v>
      </x:c>
      <x:c r="F72" s="2" t="s">
        <x:v>63</x:v>
      </x:c>
      <x:c r="G72" s="3">
        <x:v>54</x:v>
      </x:c>
      <x:c r="H72" s="3">
        <x:v>0</x:v>
      </x:c>
      <x:c r="I72" s="3">
        <x:v>120</x:v>
      </x:c>
      <x:c r="J72" s="4">
        <x:v>2.3255813953488368E-2</x:v>
      </x:c>
      <x:c r="K72" s="3">
        <x:v>0</x:v>
      </x:c>
      <x:c r="L72" s="2" t="s">
        <x:v>337</x:v>
      </x:c>
      <x:c r="M72" s="3">
        <x:v>1073</x:v>
      </x:c>
      <x:c r="N72" s="3">
        <x:v>72</x:v>
      </x:c>
      <x:c r="O72" s="5">
        <x:v>80.651963069474121</x:v>
      </x:c>
      <x:c r="P72" s="5">
        <x:v>25.070788582313529</x:v>
      </x:c>
      <x:c r="Q72" s="5"/>
      <x:c r="R72" s="5">
        <x:v>92.569660175615255</x:v>
      </x:c>
      <x:c r="S72" s="5">
        <x:f t="shared" si="5"/>
        <x:v>54.439164989741464</x:v>
      </x:c>
      <x:c r="T72" s="5">
        <x:f t="shared" si="6"/>
        <x:v>54.439164989741464</x:v>
      </x:c>
      <x:c r="U72" s="5" t="e">
        <x:f>T72/[1]Model_Parameters!$B$22</x:f>
        <x:v>#NAME?</x:v>
      </x:c>
      <x:c r="V72" s="5">
        <x:v>292.93198353211079</x:v>
      </x:c>
      <x:c r="W72" s="5">
        <x:v>292.93198353211079</x:v>
      </x:c>
      <x:c r="X72" s="5">
        <x:v>90.567351633133924</x:v>
      </x:c>
      <x:c r="Y72" s="3">
        <x:v>1</x:v>
      </x:c>
      <x:c r="Z72" s="3">
        <x:v>0</x:v>
      </x:c>
      <x:c r="AA72" s="3"/>
      <x:c r="AB72" s="2"/>
      <x:c r="AC72" s="3"/>
      <x:c r="AD72" s="3"/>
      <x:c r="AE72" s="2" t="s">
        <x:v>65</x:v>
      </x:c>
      <x:c r="AF72" s="3">
        <x:v>7</x:v>
      </x:c>
      <x:c r="AG72" s="3">
        <x:v>0</x:v>
      </x:c>
      <x:c r="AH72" s="2" t="s">
        <x:v>337</x:v>
      </x:c>
      <x:c r="AI72" s="3">
        <x:v>72</x:v>
      </x:c>
      <x:c r="AJ72" s="3">
        <x:v>0</x:v>
      </x:c>
      <x:c r="AK72" s="2" t="s">
        <x:v>66</x:v>
      </x:c>
      <x:c r="AL72" s="3">
        <x:v>0</x:v>
      </x:c>
      <x:c r="AM72" s="2" t="s">
        <x:v>338</x:v>
      </x:c>
      <x:c r="AN72" s="3">
        <x:v>73</x:v>
      </x:c>
      <x:c r="AO72" s="3">
        <x:v>18</x:v>
      </x:c>
      <x:c r="AP72" s="3">
        <x:v>18</x:v>
      </x:c>
      <x:c r="AQ72" s="5">
        <x:v>60.109039303987991</x:v>
      </x:c>
      <x:c r="AR72" s="5">
        <x:v>54.439164989741471</x:v>
      </x:c>
      <x:c r="AS72" s="5">
        <x:f t="shared" si="7"/>
        <x:v>100.00000000000003</x:v>
      </x:c>
      <x:c r="AT72" s="5">
        <x:v>200.36346434662661</x:v>
      </x:c>
      <x:c r="AU72" s="5">
        <x:v>292.93198353211079</x:v>
      </x:c>
      <x:c r="AV72" s="5">
        <x:v>92.569660175615255</x:v>
      </x:c>
      <x:c r="AW72" s="2" t="b">
        <x:v>0</x:v>
      </x:c>
      <x:c r="AX72" s="2"/>
      <x:c r="AY72" s="2" t="s">
        <x:v>68</x:v>
      </x:c>
      <x:c r="AZ72" s="6">
        <x:v>72</x:v>
      </x:c>
      <x:c r="BA72" s="6"/>
      <x:c r="BB72" s="7"/>
      <x:c r="BC72" s="7"/>
      <x:c r="BD72" s="8"/>
      <x:c r="BE72" s="2" t="e">
        <x:f>IF(AE72="Blocked","No",IF(AJ72&lt;=[1]Model_Parameters!$B$20,"Yes","No"))</x:f>
        <x:v>#NAME?</x:v>
      </x:c>
      <x:c r="BF72" s="2" t="str">
        <x:f t="shared" si="8"/>
        <x:v>Yes</x:v>
      </x:c>
      <x:c r="BG72" s="2" t="str">
        <x:f t="shared" si="9"/>
        <x:v>Yes</x:v>
      </x:c>
      <x:c r="BH72" s="24"/>
      <x:c r="BI72" s="24"/>
    </x:row>
    <x:row r="73">
      <x:c r="A73" s="2" t="s">
        <x:v>59</x:v>
      </x:c>
      <x:c r="B73" s="3">
        <x:v>133</x:v>
      </x:c>
      <x:c r="C73" s="2" t="s">
        <x:v>339</x:v>
      </x:c>
      <x:c r="D73" s="2" t="s">
        <x:v>340</x:v>
      </x:c>
      <x:c r="E73" s="2" t="s">
        <x:v>62</x:v>
      </x:c>
      <x:c r="F73" s="2" t="s">
        <x:v>63</x:v>
      </x:c>
      <x:c r="G73" s="3">
        <x:v>55</x:v>
      </x:c>
      <x:c r="H73" s="3">
        <x:v>0</x:v>
      </x:c>
      <x:c r="I73" s="3">
        <x:v>120</x:v>
      </x:c>
      <x:c r="J73" s="4">
        <x:v>5.8139534883720929E-2</x:v>
      </x:c>
      <x:c r="K73" s="3">
        <x:v>0</x:v>
      </x:c>
      <x:c r="L73" s="2" t="s">
        <x:v>341</x:v>
      </x:c>
      <x:c r="M73" s="3">
        <x:v>1084</x:v>
      </x:c>
      <x:c r="N73" s="3">
        <x:v>73</x:v>
      </x:c>
      <x:c r="O73" s="5">
        <x:v>184.8221033313464</x:v>
      </x:c>
      <x:c r="P73" s="5">
        <x:v>21.66936299753527</x:v>
      </x:c>
      <x:c r="Q73" s="5"/>
      <x:c r="R73" s="5">
        <x:v>98.237400089363675</x:v>
      </x:c>
      <x:c r="S73" s="5">
        <x:f t="shared" si="5"/>
        <x:v>141.51465663264273</x:v>
      </x:c>
      <x:c r="T73" s="5">
        <x:f t="shared" si="6"/>
        <x:v>141.51465663264273</x:v>
      </x:c>
      <x:c r="U73" s="5" t="e">
        <x:f>T73/[1]Model_Parameters!$B$22</x:f>
        <x:v>#NAME?</x:v>
      </x:c>
      <x:c r="V73" s="5">
        <x:v>254.64940830710759</x:v>
      </x:c>
      <x:c r="W73" s="5">
        <x:v>254.64940830710759</x:v>
      </x:c>
      <x:c r="X73" s="5">
        <x:v>94.798759871696632</x:v>
      </x:c>
      <x:c r="Y73" s="3">
        <x:v>2</x:v>
      </x:c>
      <x:c r="Z73" s="3">
        <x:v>0</x:v>
      </x:c>
      <x:c r="AA73" s="3"/>
      <x:c r="AB73" s="2"/>
      <x:c r="AC73" s="3"/>
      <x:c r="AD73" s="3"/>
      <x:c r="AE73" s="2" t="s">
        <x:v>65</x:v>
      </x:c>
      <x:c r="AF73" s="3">
        <x:v>9</x:v>
      </x:c>
      <x:c r="AG73" s="3">
        <x:v>0</x:v>
      </x:c>
      <x:c r="AH73" s="2" t="s">
        <x:v>341</x:v>
      </x:c>
      <x:c r="AI73" s="3">
        <x:v>73</x:v>
      </x:c>
      <x:c r="AJ73" s="3">
        <x:v>0</x:v>
      </x:c>
      <x:c r="AK73" s="2" t="s">
        <x:v>66</x:v>
      </x:c>
      <x:c r="AL73" s="3">
        <x:v>0</x:v>
      </x:c>
      <x:c r="AM73" s="2" t="s">
        <x:v>342</x:v>
      </x:c>
      <x:c r="AN73" s="3">
        <x:v>77</x:v>
      </x:c>
      <x:c r="AO73" s="3">
        <x:v>60</x:v>
      </x:c>
      <x:c r="AP73" s="3">
        <x:v>60</x:v>
      </x:c>
      <x:c r="AQ73" s="5">
        <x:v>149.27901675525371</x:v>
      </x:c>
      <x:c r="AR73" s="5">
        <x:v>141.5146566326427</x:v>
      </x:c>
      <x:c r="AS73" s="5">
        <x:f t="shared" si="7"/>
        <x:v>99.999999999999972</x:v>
      </x:c>
      <x:c r="AT73" s="5">
        <x:v>149.27901675525371</x:v>
      </x:c>
      <x:c r="AU73" s="5">
        <x:v>254.64940830710751</x:v>
      </x:c>
      <x:c r="AV73" s="5">
        <x:v>98.237400089363675</x:v>
      </x:c>
      <x:c r="AW73" s="2" t="b">
        <x:v>0</x:v>
      </x:c>
      <x:c r="AX73" s="2"/>
      <x:c r="AY73" s="2" t="s">
        <x:v>68</x:v>
      </x:c>
      <x:c r="AZ73" s="6">
        <x:v>73</x:v>
      </x:c>
      <x:c r="BA73" s="6"/>
      <x:c r="BB73" s="7"/>
      <x:c r="BC73" s="7"/>
      <x:c r="BD73" s="8"/>
      <x:c r="BE73" s="2" t="e">
        <x:f>IF(AE73="Blocked","No",IF(AJ73&lt;=[1]Model_Parameters!$B$20,"Yes","No"))</x:f>
        <x:v>#NAME?</x:v>
      </x:c>
      <x:c r="BF73" s="2" t="str">
        <x:f t="shared" si="8"/>
        <x:v>Yes</x:v>
      </x:c>
      <x:c r="BG73" s="2" t="str">
        <x:f t="shared" si="9"/>
        <x:v>Yes</x:v>
      </x:c>
      <x:c r="BH73" s="24"/>
      <x:c r="BI73" s="24"/>
    </x:row>
    <x:row r="74">
      <x:c r="A74" s="2" t="s">
        <x:v>59</x:v>
      </x:c>
      <x:c r="B74" s="3">
        <x:v>134</x:v>
      </x:c>
      <x:c r="C74" s="2" t="s">
        <x:v>343</x:v>
      </x:c>
      <x:c r="D74" s="2" t="s">
        <x:v>344</x:v>
      </x:c>
      <x:c r="E74" s="2" t="s">
        <x:v>62</x:v>
      </x:c>
      <x:c r="F74" s="2" t="s">
        <x:v>63</x:v>
      </x:c>
      <x:c r="G74" s="3">
        <x:v>56</x:v>
      </x:c>
      <x:c r="H74" s="3">
        <x:v>0</x:v>
      </x:c>
      <x:c r="I74" s="3">
        <x:v>120</x:v>
      </x:c>
      <x:c r="J74" s="4">
        <x:v>5.8139534883720929E-2</x:v>
      </x:c>
      <x:c r="K74" s="3">
        <x:v>0</x:v>
      </x:c>
      <x:c r="L74" s="2" t="s">
        <x:v>341</x:v>
      </x:c>
      <x:c r="M74" s="3">
        <x:v>1084</x:v>
      </x:c>
      <x:c r="N74" s="3">
        <x:v>73</x:v>
      </x:c>
      <x:c r="O74" s="5">
        <x:v>59.26357258884812</x:v>
      </x:c>
      <x:c r="P74" s="5">
        <x:v>20.926227547829988</x:v>
      </x:c>
      <x:c r="Q74" s="5"/>
      <x:c r="R74" s="5">
        <x:v>92.021841220393526</x:v>
      </x:c>
      <x:c r="S74" s="5">
        <x:f t="shared" si="5"/>
        <x:v>42.133800616326717</x:v>
      </x:c>
      <x:c r="T74" s="5">
        <x:f t="shared" si="6"/>
        <x:v>42.133800616326717</x:v>
      </x:c>
      <x:c r="U74" s="5" t="e">
        <x:f>T74/[1]Model_Parameters!$B$22</x:f>
        <x:v>#NAME?</x:v>
      </x:c>
      <x:c r="V74" s="5">
        <x:v>318.06875145558018</x:v>
      </x:c>
      <x:c r="W74" s="5">
        <x:v>318.06875145558018</x:v>
      </x:c>
      <x:c r="X74" s="5">
        <x:v>94.486437385477899</x:v>
      </x:c>
      <x:c r="Y74" s="3">
        <x:v>3</x:v>
      </x:c>
      <x:c r="Z74" s="3">
        <x:v>0</x:v>
      </x:c>
      <x:c r="AA74" s="3"/>
      <x:c r="AB74" s="2"/>
      <x:c r="AC74" s="3"/>
      <x:c r="AD74" s="3"/>
      <x:c r="AE74" s="2" t="s">
        <x:v>65</x:v>
      </x:c>
      <x:c r="AF74" s="3">
        <x:v>10</x:v>
      </x:c>
      <x:c r="AG74" s="3">
        <x:v>0</x:v>
      </x:c>
      <x:c r="AH74" s="2" t="s">
        <x:v>341</x:v>
      </x:c>
      <x:c r="AI74" s="3">
        <x:v>73</x:v>
      </x:c>
      <x:c r="AJ74" s="3">
        <x:v>0</x:v>
      </x:c>
      <x:c r="AK74" s="2" t="s">
        <x:v>66</x:v>
      </x:c>
      <x:c r="AL74" s="3">
        <x:v>0</x:v>
      </x:c>
      <x:c r="AM74" s="2" t="s">
        <x:v>345</x:v>
      </x:c>
      <x:c r="AN74" s="3">
        <x:v>74</x:v>
      </x:c>
      <x:c r="AO74" s="3">
        <x:v>12</x:v>
      </x:c>
      <x:c r="AP74" s="3">
        <x:v>12</x:v>
      </x:c>
      <x:c r="AQ74" s="5">
        <x:v>44.592432292089427</x:v>
      </x:c>
      <x:c r="AR74" s="5">
        <x:v>42.133800616326717</x:v>
      </x:c>
      <x:c r="AS74" s="5">
        <x:f t="shared" si="7"/>
        <x:v>100</x:v>
      </x:c>
      <x:c r="AT74" s="5">
        <x:v>222.96216146044719</x:v>
      </x:c>
      <x:c r="AU74" s="5">
        <x:v>318.06875145558018</x:v>
      </x:c>
      <x:c r="AV74" s="5">
        <x:v>92.021841220393526</x:v>
      </x:c>
      <x:c r="AW74" s="2" t="b">
        <x:v>0</x:v>
      </x:c>
      <x:c r="AX74" s="2"/>
      <x:c r="AY74" s="2" t="s">
        <x:v>68</x:v>
      </x:c>
      <x:c r="AZ74" s="6">
        <x:v>73</x:v>
      </x:c>
      <x:c r="BA74" s="6"/>
      <x:c r="BB74" s="7"/>
      <x:c r="BC74" s="7"/>
      <x:c r="BD74" s="8"/>
      <x:c r="BE74" s="2" t="e">
        <x:f>IF(AE74="Blocked","No",IF(AJ74&lt;=[1]Model_Parameters!$B$20,"Yes","No"))</x:f>
        <x:v>#NAME?</x:v>
      </x:c>
      <x:c r="BF74" s="2" t="str">
        <x:f t="shared" si="8"/>
        <x:v>Yes</x:v>
      </x:c>
      <x:c r="BG74" s="2" t="str">
        <x:f t="shared" si="9"/>
        <x:v>Yes</x:v>
      </x:c>
      <x:c r="BH74" s="24"/>
      <x:c r="BI74" s="24"/>
    </x:row>
    <x:row r="75">
      <x:c r="A75" s="2" t="s">
        <x:v>59</x:v>
      </x:c>
      <x:c r="B75" s="3">
        <x:v>135</x:v>
      </x:c>
      <x:c r="C75" s="2" t="s">
        <x:v>346</x:v>
      </x:c>
      <x:c r="D75" s="2" t="s">
        <x:v>347</x:v>
      </x:c>
      <x:c r="E75" s="2" t="s">
        <x:v>62</x:v>
      </x:c>
      <x:c r="F75" s="2" t="s">
        <x:v>63</x:v>
      </x:c>
      <x:c r="G75" s="3">
        <x:v>57</x:v>
      </x:c>
      <x:c r="H75" s="3">
        <x:v>0</x:v>
      </x:c>
      <x:c r="I75" s="3">
        <x:v>120</x:v>
      </x:c>
      <x:c r="J75" s="4">
        <x:v>5.8139534883720929E-2</x:v>
      </x:c>
      <x:c r="K75" s="3">
        <x:v>0</x:v>
      </x:c>
      <x:c r="L75" s="2" t="s">
        <x:v>348</x:v>
      </x:c>
      <x:c r="M75" s="3">
        <x:v>1087</x:v>
      </x:c>
      <x:c r="N75" s="3">
        <x:v>73</x:v>
      </x:c>
      <x:c r="O75" s="5">
        <x:v>133.53666015166129</x:v>
      </x:c>
      <x:c r="P75" s="5">
        <x:v>32.600166817191258</x:v>
      </x:c>
      <x:c r="Q75" s="5"/>
      <x:c r="R75" s="5">
        <x:v>87.990167894360354</x:v>
      </x:c>
      <x:c r="S75" s="5">
        <x:f t="shared" si="5"/>
        <x:v>73.965957496420828</x:v>
      </x:c>
      <x:c r="T75" s="5">
        <x:f t="shared" si="6"/>
        <x:v>73.965957496420828</x:v>
      </x:c>
      <x:c r="U75" s="5" t="e">
        <x:f>T75/[1]Model_Parameters!$B$22</x:f>
        <x:v>#NAME?</x:v>
      </x:c>
      <x:c r="V75" s="5">
        <x:v>441.42417553109709</x:v>
      </x:c>
      <x:c r="W75" s="5">
        <x:v>441.42417553109709</x:v>
      </x:c>
      <x:c r="X75" s="5">
        <x:v>91.889050534513245</x:v>
      </x:c>
      <x:c r="Y75" s="3">
        <x:v>4</x:v>
      </x:c>
      <x:c r="Z75" s="3">
        <x:v>0</x:v>
      </x:c>
      <x:c r="AA75" s="3"/>
      <x:c r="AB75" s="2"/>
      <x:c r="AC75" s="3"/>
      <x:c r="AD75" s="3"/>
      <x:c r="AE75" s="2" t="s">
        <x:v>65</x:v>
      </x:c>
      <x:c r="AF75" s="3">
        <x:v>1</x:v>
      </x:c>
      <x:c r="AG75" s="3">
        <x:v>0</x:v>
      </x:c>
      <x:c r="AH75" s="2" t="s">
        <x:v>348</x:v>
      </x:c>
      <x:c r="AI75" s="3">
        <x:v>73</x:v>
      </x:c>
      <x:c r="AJ75" s="3">
        <x:v>0</x:v>
      </x:c>
      <x:c r="AK75" s="2" t="s">
        <x:v>66</x:v>
      </x:c>
      <x:c r="AL75" s="3">
        <x:v>0</x:v>
      </x:c>
      <x:c r="AM75" s="2" t="s">
        <x:v>349</x:v>
      </x:c>
      <x:c r="AN75" s="3">
        <x:v>74</x:v>
      </x:c>
      <x:c r="AO75" s="3">
        <x:v>14</x:v>
      </x:c>
      <x:c r="AP75" s="3">
        <x:v>14</x:v>
      </x:c>
      <x:c r="AQ75" s="5">
        <x:v>80.494854464340534</x:v>
      </x:c>
      <x:c r="AR75" s="5">
        <x:v>73.965957496420785</x:v>
      </x:c>
      <x:c r="AS75" s="5">
        <x:f t="shared" si="7"/>
        <x:v>99.999999999999943</x:v>
      </x:c>
      <x:c r="AT75" s="5">
        <x:v>344.97794770431659</x:v>
      </x:c>
      <x:c r="AU75" s="5">
        <x:v>441.42417553109698</x:v>
      </x:c>
      <x:c r="AV75" s="5">
        <x:v>87.990167894360354</x:v>
      </x:c>
      <x:c r="AW75" s="2" t="b">
        <x:v>0</x:v>
      </x:c>
      <x:c r="AX75" s="2"/>
      <x:c r="AY75" s="2" t="s">
        <x:v>68</x:v>
      </x:c>
      <x:c r="AZ75" s="6">
        <x:v>73</x:v>
      </x:c>
      <x:c r="BA75" s="6"/>
      <x:c r="BB75" s="7"/>
      <x:c r="BC75" s="7"/>
      <x:c r="BD75" s="8"/>
      <x:c r="BE75" s="2" t="e">
        <x:f>IF(AE75="Blocked","No",IF(AJ75&lt;=[1]Model_Parameters!$B$20,"Yes","No"))</x:f>
        <x:v>#NAME?</x:v>
      </x:c>
      <x:c r="BF75" s="2" t="str">
        <x:f t="shared" si="8"/>
        <x:v>Yes</x:v>
      </x:c>
      <x:c r="BG75" s="2" t="str">
        <x:f t="shared" si="9"/>
        <x:v>Yes</x:v>
      </x:c>
      <x:c r="BH75" s="24"/>
      <x:c r="BI75" s="24"/>
    </x:row>
    <x:row r="76">
      <x:c r="A76" s="2" t="s">
        <x:v>59</x:v>
      </x:c>
      <x:c r="B76" s="3">
        <x:v>136</x:v>
      </x:c>
      <x:c r="C76" s="2" t="s">
        <x:v>350</x:v>
      </x:c>
      <x:c r="D76" s="2" t="s">
        <x:v>351</x:v>
      </x:c>
      <x:c r="E76" s="2" t="s">
        <x:v>62</x:v>
      </x:c>
      <x:c r="F76" s="2" t="s">
        <x:v>63</x:v>
      </x:c>
      <x:c r="G76" s="3">
        <x:v>58</x:v>
      </x:c>
      <x:c r="H76" s="3">
        <x:v>0</x:v>
      </x:c>
      <x:c r="I76" s="3">
        <x:v>120</x:v>
      </x:c>
      <x:c r="J76" s="4">
        <x:v>5.8139534883720929E-2</x:v>
      </x:c>
      <x:c r="K76" s="3">
        <x:v>0</x:v>
      </x:c>
      <x:c r="L76" s="2" t="s">
        <x:v>352</x:v>
      </x:c>
      <x:c r="M76" s="3">
        <x:v>1089</x:v>
      </x:c>
      <x:c r="N76" s="3">
        <x:v>73</x:v>
      </x:c>
      <x:c r="O76" s="5">
        <x:v>102.62884376800579</x:v>
      </x:c>
      <x:c r="P76" s="5">
        <x:v>16.809667518620209</x:v>
      </x:c>
      <x:c r="Q76" s="5"/>
      <x:c r="R76" s="5">
        <x:v>72.873517693005482</x:v>
      </x:c>
      <x:c r="S76" s="5">
        <x:f t="shared" si="5"/>
        <x:v>57.537681205798705</x:v>
      </x:c>
      <x:c r="T76" s="5">
        <x:f t="shared" si="6"/>
        <x:v>57.537681205798705</x:v>
      </x:c>
      <x:c r="U76" s="5" t="e">
        <x:f>T76/[1]Model_Parameters!$B$22</x:f>
        <x:v>#NAME?</x:v>
      </x:c>
      <x:c r="V76" s="5">
        <x:v>207.69264467257591</x:v>
      </x:c>
      <x:c r="W76" s="5">
        <x:v>207.69264467257591</x:v>
      </x:c>
      <x:c r="X76" s="5">
        <x:v>94.957356537540178</x:v>
      </x:c>
      <x:c r="Y76" s="3">
        <x:v>5</x:v>
      </x:c>
      <x:c r="Z76" s="3">
        <x:v>0</x:v>
      </x:c>
      <x:c r="AA76" s="3"/>
      <x:c r="AB76" s="2"/>
      <x:c r="AC76" s="3"/>
      <x:c r="AD76" s="3"/>
      <x:c r="AE76" s="2" t="s">
        <x:v>65</x:v>
      </x:c>
      <x:c r="AF76" s="3">
        <x:v>2</x:v>
      </x:c>
      <x:c r="AG76" s="3">
        <x:v>0</x:v>
      </x:c>
      <x:c r="AH76" s="2" t="s">
        <x:v>352</x:v>
      </x:c>
      <x:c r="AI76" s="3">
        <x:v>73</x:v>
      </x:c>
      <x:c r="AJ76" s="3">
        <x:v>0</x:v>
      </x:c>
      <x:c r="AK76" s="2" t="s">
        <x:v>66</x:v>
      </x:c>
      <x:c r="AL76" s="3">
        <x:v>0</x:v>
      </x:c>
      <x:c r="AM76" s="2" t="s">
        <x:v>353</x:v>
      </x:c>
      <x:c r="AN76" s="3">
        <x:v>74</x:v>
      </x:c>
      <x:c r="AO76" s="3">
        <x:v>18</x:v>
      </x:c>
      <x:c r="AP76" s="3">
        <x:v>18</x:v>
      </x:c>
      <x:c r="AQ76" s="5">
        <x:v>60.593179195181072</x:v>
      </x:c>
      <x:c r="AR76" s="5">
        <x:v>57.537681205798712</x:v>
      </x:c>
      <x:c r="AS76" s="5">
        <x:f t="shared" si="7"/>
        <x:v>100.00000000000003</x:v>
      </x:c>
      <x:c r="AT76" s="5">
        <x:v>201.97726398393689</x:v>
      </x:c>
      <x:c r="AU76" s="5">
        <x:v>207.69264467257591</x:v>
      </x:c>
      <x:c r="AV76" s="5">
        <x:v>72.873517693005482</x:v>
      </x:c>
      <x:c r="AW76" s="2" t="b">
        <x:v>0</x:v>
      </x:c>
      <x:c r="AX76" s="2"/>
      <x:c r="AY76" s="2" t="s">
        <x:v>68</x:v>
      </x:c>
      <x:c r="AZ76" s="6">
        <x:v>73</x:v>
      </x:c>
      <x:c r="BA76" s="6"/>
      <x:c r="BB76" s="7"/>
      <x:c r="BC76" s="7"/>
      <x:c r="BD76" s="8"/>
      <x:c r="BE76" s="2" t="e">
        <x:f>IF(AE76="Blocked","No",IF(AJ76&lt;=[1]Model_Parameters!$B$20,"Yes","No"))</x:f>
        <x:v>#NAME?</x:v>
      </x:c>
      <x:c r="BF76" s="2" t="str">
        <x:f t="shared" si="8"/>
        <x:v>Yes</x:v>
      </x:c>
      <x:c r="BG76" s="2" t="str">
        <x:f t="shared" si="9"/>
        <x:v>Yes</x:v>
      </x:c>
      <x:c r="BH76" s="24"/>
      <x:c r="BI76" s="24"/>
    </x:row>
    <x:row r="77">
      <x:c r="A77" s="2" t="s">
        <x:v>59</x:v>
      </x:c>
      <x:c r="B77" s="3">
        <x:v>138</x:v>
      </x:c>
      <x:c r="C77" s="2" t="s">
        <x:v>354</x:v>
      </x:c>
      <x:c r="D77" s="2" t="s">
        <x:v>355</x:v>
      </x:c>
      <x:c r="E77" s="2" t="s">
        <x:v>62</x:v>
      </x:c>
      <x:c r="F77" s="2" t="s">
        <x:v>63</x:v>
      </x:c>
      <x:c r="G77" s="3">
        <x:v>59</x:v>
      </x:c>
      <x:c r="H77" s="3">
        <x:v>0</x:v>
      </x:c>
      <x:c r="I77" s="3">
        <x:v>120</x:v>
      </x:c>
      <x:c r="J77" s="4">
        <x:v>5.8139534883720929E-2</x:v>
      </x:c>
      <x:c r="K77" s="3">
        <x:v>0</x:v>
      </x:c>
      <x:c r="L77" s="2" t="s">
        <x:v>356</x:v>
      </x:c>
      <x:c r="M77" s="3">
        <x:v>1099</x:v>
      </x:c>
      <x:c r="N77" s="3">
        <x:v>74</x:v>
      </x:c>
      <x:c r="O77" s="5">
        <x:v>108.95995357587439</x:v>
      </x:c>
      <x:c r="P77" s="5">
        <x:v>7.8994922372927228</x:v>
      </x:c>
      <x:c r="Q77" s="5"/>
      <x:c r="R77" s="5">
        <x:v>91.47025491019491</x:v>
      </x:c>
      <x:c r="S77" s="5">
        <x:f t="shared" si="5"/>
        <x:v>91.058664211398394</x:v>
      </x:c>
      <x:c r="T77" s="5">
        <x:f t="shared" si="6"/>
        <x:v>91.058664211398394</x:v>
      </x:c>
      <x:c r="U77" s="5" t="e">
        <x:f>T77/[1]Model_Parameters!$B$22</x:f>
        <x:v>#NAME?</x:v>
      </x:c>
      <x:c r="V77" s="5">
        <x:v>269.79602248734471</x:v>
      </x:c>
      <x:c r="W77" s="5">
        <x:v>269.79602248734471</x:v>
      </x:c>
      <x:c r="X77" s="5">
        <x:v>90.612636996558763</x:v>
      </x:c>
      <x:c r="Y77" s="3">
        <x:v>4</x:v>
      </x:c>
      <x:c r="Z77" s="3">
        <x:v>0</x:v>
      </x:c>
      <x:c r="AA77" s="3"/>
      <x:c r="AB77" s="2"/>
      <x:c r="AC77" s="3"/>
      <x:c r="AD77" s="3"/>
      <x:c r="AE77" s="2" t="s">
        <x:v>65</x:v>
      </x:c>
      <x:c r="AF77" s="3">
        <x:v>4</x:v>
      </x:c>
      <x:c r="AG77" s="3">
        <x:v>0</x:v>
      </x:c>
      <x:c r="AH77" s="2" t="s">
        <x:v>356</x:v>
      </x:c>
      <x:c r="AI77" s="3">
        <x:v>74</x:v>
      </x:c>
      <x:c r="AJ77" s="3">
        <x:v>0</x:v>
      </x:c>
      <x:c r="AK77" s="2" t="s">
        <x:v>66</x:v>
      </x:c>
      <x:c r="AL77" s="3">
        <x:v>0</x:v>
      </x:c>
      <x:c r="AM77" s="2" t="s">
        <x:v>357</x:v>
      </x:c>
      <x:c r="AN77" s="3">
        <x:v>76</x:v>
      </x:c>
      <x:c r="AO77" s="3">
        <x:v>29</x:v>
      </x:c>
      <x:c r="AP77" s="3">
        <x:v>29</x:v>
      </x:c>
      <x:c r="AQ77" s="5">
        <x:v>100.49223511159551</x:v>
      </x:c>
      <x:c r="AR77" s="5">
        <x:v>91.058664211398337</x:v>
      </x:c>
      <x:c r="AS77" s="5">
        <x:f t="shared" si="7"/>
        <x:v>99.999999999999929</x:v>
      </x:c>
      <x:c r="AT77" s="5">
        <x:v>207.9149691964044</x:v>
      </x:c>
      <x:c r="AU77" s="5">
        <x:v>269.79602248734471</x:v>
      </x:c>
      <x:c r="AV77" s="5">
        <x:v>91.47025491019491</x:v>
      </x:c>
      <x:c r="AW77" s="2" t="b">
        <x:v>0</x:v>
      </x:c>
      <x:c r="AX77" s="2"/>
      <x:c r="AY77" s="2" t="s">
        <x:v>68</x:v>
      </x:c>
      <x:c r="AZ77" s="6">
        <x:v>74</x:v>
      </x:c>
      <x:c r="BA77" s="6"/>
      <x:c r="BB77" s="7"/>
      <x:c r="BC77" s="7"/>
      <x:c r="BD77" s="8"/>
      <x:c r="BE77" s="2" t="e">
        <x:f>IF(AE77="Blocked","No",IF(AJ77&lt;=[1]Model_Parameters!$B$20,"Yes","No"))</x:f>
        <x:v>#NAME?</x:v>
      </x:c>
      <x:c r="BF77" s="2" t="str">
        <x:f t="shared" si="8"/>
        <x:v>Yes</x:v>
      </x:c>
      <x:c r="BG77" s="2" t="str">
        <x:f t="shared" si="9"/>
        <x:v>Yes</x:v>
      </x:c>
      <x:c r="BH77" s="24"/>
      <x:c r="BI77" s="24"/>
    </x:row>
    <x:row r="78">
      <x:c r="A78" s="2" t="s">
        <x:v>59</x:v>
      </x:c>
      <x:c r="B78" s="3">
        <x:v>140</x:v>
      </x:c>
      <x:c r="C78" s="2" t="s">
        <x:v>358</x:v>
      </x:c>
      <x:c r="D78" s="2" t="s">
        <x:v>359</x:v>
      </x:c>
      <x:c r="E78" s="2" t="s">
        <x:v>79</x:v>
      </x:c>
      <x:c r="F78" s="2" t="s">
        <x:v>80</x:v>
      </x:c>
      <x:c r="G78" s="3">
        <x:v>18</x:v>
      </x:c>
      <x:c r="H78" s="3">
        <x:v>1</x:v>
      </x:c>
      <x:c r="I78" s="3">
        <x:v>30</x:v>
      </x:c>
      <x:c r="J78" s="4">
        <x:v>6.7155067155067152E-2</x:v>
      </x:c>
      <x:c r="K78" s="3">
        <x:v>0</x:v>
      </x:c>
      <x:c r="L78" s="2" t="s">
        <x:v>360</x:v>
      </x:c>
      <x:c r="M78" s="3">
        <x:v>1111</x:v>
      </x:c>
      <x:c r="N78" s="3">
        <x:v>75</x:v>
      </x:c>
      <x:c r="O78" s="5">
        <x:v>77.916555433708879</x:v>
      </x:c>
      <x:c r="P78" s="5">
        <x:v>14.683967342584239</x:v>
      </x:c>
      <x:c r="Q78" s="5"/>
      <x:c r="R78" s="5">
        <x:v>88.336730596518763</x:v>
      </x:c>
      <x:c r="S78" s="5">
        <x:f t="shared" si="5"/>
        <x:v>57.387696109210253</x:v>
      </x:c>
      <x:c r="T78" s="5">
        <x:f t="shared" si="6"/>
        <x:v>57.387696109210253</x:v>
      </x:c>
      <x:c r="U78" s="5" t="e">
        <x:f>T78/[1]Model_Parameters!$B$22</x:f>
        <x:v>#NAME?</x:v>
      </x:c>
      <x:c r="V78" s="5">
        <x:v>250.69187678540899</x:v>
      </x:c>
      <x:c r="W78" s="5">
        <x:v>250.69187678540899</x:v>
      </x:c>
      <x:c r="X78" s="5">
        <x:v>92.936438149400274</x:v>
      </x:c>
      <x:c r="Y78" s="3">
        <x:v>4</x:v>
      </x:c>
      <x:c r="Z78" s="3">
        <x:v>0</x:v>
      </x:c>
      <x:c r="AA78" s="3"/>
      <x:c r="AB78" s="2"/>
      <x:c r="AC78" s="3"/>
      <x:c r="AD78" s="3"/>
      <x:c r="AE78" s="2" t="s">
        <x:v>65</x:v>
      </x:c>
      <x:c r="AF78" s="3">
        <x:v>6</x:v>
      </x:c>
      <x:c r="AG78" s="3">
        <x:v>0</x:v>
      </x:c>
      <x:c r="AH78" s="2" t="s">
        <x:v>360</x:v>
      </x:c>
      <x:c r="AI78" s="3">
        <x:v>75</x:v>
      </x:c>
      <x:c r="AJ78" s="3">
        <x:v>0</x:v>
      </x:c>
      <x:c r="AK78" s="2" t="s">
        <x:v>66</x:v>
      </x:c>
      <x:c r="AL78" s="3">
        <x:v>0</x:v>
      </x:c>
      <x:c r="AM78" s="2" t="s">
        <x:v>361</x:v>
      </x:c>
      <x:c r="AN78" s="3">
        <x:v>76</x:v>
      </x:c>
      <x:c r="AO78" s="3">
        <x:v>18</x:v>
      </x:c>
      <x:c r="AP78" s="3">
        <x:v>18</x:v>
      </x:c>
      <x:c r="AQ78" s="5">
        <x:v>61.749403411562277</x:v>
      </x:c>
      <x:c r="AR78" s="5">
        <x:v>57.387696109210239</x:v>
      </x:c>
      <x:c r="AS78" s="5">
        <x:f t="shared" si="7"/>
        <x:v>99.999999999999972</x:v>
      </x:c>
      <x:c r="AT78" s="5">
        <x:v>205.83134470520761</x:v>
      </x:c>
      <x:c r="AU78" s="5">
        <x:v>250.69187678540899</x:v>
      </x:c>
      <x:c r="AV78" s="5">
        <x:v>88.336730596518763</x:v>
      </x:c>
      <x:c r="AW78" s="2" t="b">
        <x:v>0</x:v>
      </x:c>
      <x:c r="AX78" s="2"/>
      <x:c r="AY78" s="2" t="s">
        <x:v>83</x:v>
      </x:c>
      <x:c r="AZ78" s="6">
        <x:v>75</x:v>
      </x:c>
      <x:c r="BA78" s="6"/>
      <x:c r="BB78" s="7"/>
      <x:c r="BC78" s="7"/>
      <x:c r="BD78" s="8"/>
      <x:c r="BE78" s="2" t="e">
        <x:f>IF(AE78="Blocked","No",IF(AJ78&lt;=[1]Model_Parameters!$B$20,"Yes","No"))</x:f>
        <x:v>#NAME?</x:v>
      </x:c>
      <x:c r="BF78" s="2" t="str">
        <x:f t="shared" si="8"/>
        <x:v>Yes</x:v>
      </x:c>
      <x:c r="BG78" s="2" t="str">
        <x:f t="shared" si="9"/>
        <x:v>Yes</x:v>
      </x:c>
      <x:c r="BH78" s="24" t="str">
        <x:v>16:30</x:v>
      </x:c>
      <x:c r="BI78" s="24" t="str">
        <x:v>23:00</x:v>
      </x:c>
    </x:row>
    <x:row r="79">
      <x:c r="A79" s="2" t="s">
        <x:v>59</x:v>
      </x:c>
      <x:c r="B79" s="3">
        <x:v>141</x:v>
      </x:c>
      <x:c r="C79" s="2" t="s">
        <x:v>362</x:v>
      </x:c>
      <x:c r="D79" s="2" t="s">
        <x:v>363</x:v>
      </x:c>
      <x:c r="E79" s="2" t="s">
        <x:v>62</x:v>
      </x:c>
      <x:c r="F79" s="2" t="s">
        <x:v>63</x:v>
      </x:c>
      <x:c r="G79" s="3">
        <x:v>60</x:v>
      </x:c>
      <x:c r="H79" s="3">
        <x:v>0</x:v>
      </x:c>
      <x:c r="I79" s="3">
        <x:v>120</x:v>
      </x:c>
      <x:c r="J79" s="4">
        <x:v>5.8139534883720929E-2</x:v>
      </x:c>
      <x:c r="K79" s="3">
        <x:v>0</x:v>
      </x:c>
      <x:c r="L79" s="2" t="s">
        <x:v>364</x:v>
      </x:c>
      <x:c r="M79" s="3">
        <x:v>1116</x:v>
      </x:c>
      <x:c r="N79" s="3">
        <x:v>75</x:v>
      </x:c>
      <x:c r="O79" s="5">
        <x:v>79.039163907947426</x:v>
      </x:c>
      <x:c r="P79" s="5">
        <x:v>14.83949910408532</x:v>
      </x:c>
      <x:c r="Q79" s="5"/>
      <x:c r="R79" s="5">
        <x:v>70.096524177905579</x:v>
      </x:c>
      <x:c r="S79" s="5">
        <x:f t="shared" si="5"/>
        <x:v>43.6746906187524</x:v>
      </x:c>
      <x:c r="T79" s="5">
        <x:f t="shared" si="6"/>
        <x:v>43.6746906187524</x:v>
      </x:c>
      <x:c r="U79" s="5" t="e">
        <x:f>T79/[1]Model_Parameters!$B$22</x:f>
        <x:v>#NAME?</x:v>
      </x:c>
      <x:c r="V79" s="5">
        <x:v>144.8408766597004</x:v>
      </x:c>
      <x:c r="W79" s="5">
        <x:v>144.8408766597004</x:v>
      </x:c>
      <x:c r="X79" s="5">
        <x:v>94.834632946115377</x:v>
      </x:c>
      <x:c r="Y79" s="3">
        <x:v>5</x:v>
      </x:c>
      <x:c r="Z79" s="3">
        <x:v>0</x:v>
      </x:c>
      <x:c r="AA79" s="3"/>
      <x:c r="AB79" s="2"/>
      <x:c r="AC79" s="3"/>
      <x:c r="AD79" s="3"/>
      <x:c r="AE79" s="2" t="s">
        <x:v>65</x:v>
      </x:c>
      <x:c r="AF79" s="3">
        <x:v>7</x:v>
      </x:c>
      <x:c r="AG79" s="3">
        <x:v>0</x:v>
      </x:c>
      <x:c r="AH79" s="2" t="s">
        <x:v>364</x:v>
      </x:c>
      <x:c r="AI79" s="3">
        <x:v>75</x:v>
      </x:c>
      <x:c r="AJ79" s="3">
        <x:v>0</x:v>
      </x:c>
      <x:c r="AK79" s="2" t="s">
        <x:v>66</x:v>
      </x:c>
      <x:c r="AL79" s="3">
        <x:v>0</x:v>
      </x:c>
      <x:c r="AM79" s="2" t="s">
        <x:v>365</x:v>
      </x:c>
      <x:c r="AN79" s="3">
        <x:v>76</x:v>
      </x:c>
      <x:c r="AO79" s="3">
        <x:v>20</x:v>
      </x:c>
      <x:c r="AP79" s="3">
        <x:v>20</x:v>
      </x:c>
      <x:c r="AQ79" s="5">
        <x:v>46.053524184111247</x:v>
      </x:c>
      <x:c r="AR79" s="5">
        <x:v>43.674690618752408</x:v>
      </x:c>
      <x:c r="AS79" s="5">
        <x:f t="shared" si="7"/>
        <x:v>100.00000000000003</x:v>
      </x:c>
      <x:c r="AT79" s="5">
        <x:v>138.16057255233369</x:v>
      </x:c>
      <x:c r="AU79" s="5">
        <x:v>144.8408766597004</x:v>
      </x:c>
      <x:c r="AV79" s="5">
        <x:v>70.096524177905579</x:v>
      </x:c>
      <x:c r="AW79" s="2" t="b">
        <x:v>0</x:v>
      </x:c>
      <x:c r="AX79" s="2"/>
      <x:c r="AY79" s="2" t="s">
        <x:v>68</x:v>
      </x:c>
      <x:c r="AZ79" s="6">
        <x:v>75</x:v>
      </x:c>
      <x:c r="BA79" s="6"/>
      <x:c r="BB79" s="7"/>
      <x:c r="BC79" s="7"/>
      <x:c r="BD79" s="8"/>
      <x:c r="BE79" s="2" t="e">
        <x:f>IF(AE79="Blocked","No",IF(AJ79&lt;=[1]Model_Parameters!$B$20,"Yes","No"))</x:f>
        <x:v>#NAME?</x:v>
      </x:c>
      <x:c r="BF79" s="2" t="str">
        <x:f t="shared" si="8"/>
        <x:v>Yes</x:v>
      </x:c>
      <x:c r="BG79" s="2" t="str">
        <x:f t="shared" si="9"/>
        <x:v>Yes</x:v>
      </x:c>
      <x:c r="BH79" s="24"/>
      <x:c r="BI79" s="24"/>
    </x:row>
    <x:row r="80">
      <x:c r="A80" s="2" t="s">
        <x:v>59</x:v>
      </x:c>
      <x:c r="B80" s="3">
        <x:v>142</x:v>
      </x:c>
      <x:c r="C80" s="2" t="s">
        <x:v>366</x:v>
      </x:c>
      <x:c r="D80" s="2" t="s">
        <x:v>367</x:v>
      </x:c>
      <x:c r="E80" s="2" t="s">
        <x:v>62</x:v>
      </x:c>
      <x:c r="F80" s="2" t="s">
        <x:v>63</x:v>
      </x:c>
      <x:c r="G80" s="3">
        <x:v>61</x:v>
      </x:c>
      <x:c r="H80" s="3">
        <x:v>0</x:v>
      </x:c>
      <x:c r="I80" s="3">
        <x:v>120</x:v>
      </x:c>
      <x:c r="J80" s="4">
        <x:v>5.8139534883720929E-2</x:v>
      </x:c>
      <x:c r="K80" s="3">
        <x:v>0</x:v>
      </x:c>
      <x:c r="L80" s="2" t="s">
        <x:v>368</x:v>
      </x:c>
      <x:c r="M80" s="3">
        <x:v>1117</x:v>
      </x:c>
      <x:c r="N80" s="3">
        <x:v>75</x:v>
      </x:c>
      <x:c r="O80" s="5">
        <x:v>85.223044721979917</x:v>
      </x:c>
      <x:c r="P80" s="5">
        <x:v>19.090837054221559</x:v>
      </x:c>
      <x:c r="Q80" s="5"/>
      <x:c r="R80" s="5">
        <x:v>74.723225452670306</x:v>
      </x:c>
      <x:c r="S80" s="5">
        <x:f t="shared" si="5"/>
        <x:v>47.411615244715541</x:v>
      </x:c>
      <x:c r="T80" s="5">
        <x:f t="shared" si="6"/>
        <x:v>47.411615244715541</x:v>
      </x:c>
      <x:c r="U80" s="5" t="e">
        <x:f>T80/[1]Model_Parameters!$B$22</x:f>
        <x:v>#NAME?</x:v>
      </x:c>
      <x:c r="V80" s="5">
        <x:v>311.72348200940041</x:v>
      </x:c>
      <x:c r="W80" s="5">
        <x:v>311.72348200940041</x:v>
      </x:c>
      <x:c r="X80" s="5">
        <x:v>93.3062419171995</x:v>
      </x:c>
      <x:c r="Y80" s="3">
        <x:v>6</x:v>
      </x:c>
      <x:c r="Z80" s="3">
        <x:v>0</x:v>
      </x:c>
      <x:c r="AA80" s="3"/>
      <x:c r="AB80" s="2"/>
      <x:c r="AC80" s="3"/>
      <x:c r="AD80" s="3"/>
      <x:c r="AE80" s="2" t="s">
        <x:v>65</x:v>
      </x:c>
      <x:c r="AF80" s="3">
        <x:v>10</x:v>
      </x:c>
      <x:c r="AG80" s="3">
        <x:v>0</x:v>
      </x:c>
      <x:c r="AH80" s="2" t="s">
        <x:v>368</x:v>
      </x:c>
      <x:c r="AI80" s="3">
        <x:v>75</x:v>
      </x:c>
      <x:c r="AJ80" s="3">
        <x:v>0</x:v>
      </x:c>
      <x:c r="AK80" s="2" t="s">
        <x:v>66</x:v>
      </x:c>
      <x:c r="AL80" s="3">
        <x:v>0</x:v>
      </x:c>
      <x:c r="AM80" s="2" t="s">
        <x:v>369</x:v>
      </x:c>
      <x:c r="AN80" s="3">
        <x:v>76</x:v>
      </x:c>
      <x:c r="AO80" s="3">
        <x:v>10</x:v>
      </x:c>
      <x:c r="AP80" s="3">
        <x:v>10</x:v>
      </x:c>
      <x:c r="AQ80" s="5">
        <x:v>50.812908408409477</x:v>
      </x:c>
      <x:c r="AR80" s="5">
        <x:v>47.411615244715549</x:v>
      </x:c>
      <x:c r="AS80" s="5">
        <x:f t="shared" si="7"/>
        <x:v>100.00000000000003</x:v>
      </x:c>
      <x:c r="AT80" s="5">
        <x:v>304.87745045045688</x:v>
      </x:c>
      <x:c r="AU80" s="5">
        <x:v>311.72348200940041</x:v>
      </x:c>
      <x:c r="AV80" s="5">
        <x:v>74.723225452670306</x:v>
      </x:c>
      <x:c r="AW80" s="2" t="b">
        <x:v>0</x:v>
      </x:c>
      <x:c r="AX80" s="2"/>
      <x:c r="AY80" s="2" t="s">
        <x:v>68</x:v>
      </x:c>
      <x:c r="AZ80" s="6">
        <x:v>75</x:v>
      </x:c>
      <x:c r="BA80" s="6"/>
      <x:c r="BB80" s="7"/>
      <x:c r="BC80" s="7"/>
      <x:c r="BD80" s="8"/>
      <x:c r="BE80" s="2" t="e">
        <x:f>IF(AE80="Blocked","No",IF(AJ80&lt;=[1]Model_Parameters!$B$20,"Yes","No"))</x:f>
        <x:v>#NAME?</x:v>
      </x:c>
      <x:c r="BF80" s="2" t="str">
        <x:f t="shared" si="8"/>
        <x:v>Yes</x:v>
      </x:c>
      <x:c r="BG80" s="2" t="str">
        <x:f t="shared" si="9"/>
        <x:v>Yes</x:v>
      </x:c>
      <x:c r="BH80" s="24"/>
      <x:c r="BI80" s="24"/>
    </x:row>
    <x:row r="81">
      <x:c r="A81" s="2" t="s">
        <x:v>59</x:v>
      </x:c>
      <x:c r="B81" s="3">
        <x:v>143</x:v>
      </x:c>
      <x:c r="C81" s="2" t="s">
        <x:v>370</x:v>
      </x:c>
      <x:c r="D81" s="2" t="s">
        <x:v>371</x:v>
      </x:c>
      <x:c r="E81" s="2" t="s">
        <x:v>62</x:v>
      </x:c>
      <x:c r="F81" s="2" t="s">
        <x:v>63</x:v>
      </x:c>
      <x:c r="G81" s="3">
        <x:v>62</x:v>
      </x:c>
      <x:c r="H81" s="3">
        <x:v>0</x:v>
      </x:c>
      <x:c r="I81" s="3">
        <x:v>120</x:v>
      </x:c>
      <x:c r="J81" s="4">
        <x:v>5.8139534883720929E-2</x:v>
      </x:c>
      <x:c r="K81" s="3">
        <x:v>0</x:v>
      </x:c>
      <x:c r="L81" s="2" t="s">
        <x:v>372</x:v>
      </x:c>
      <x:c r="M81" s="3">
        <x:v>1119</x:v>
      </x:c>
      <x:c r="N81" s="3">
        <x:v>75</x:v>
      </x:c>
      <x:c r="O81" s="5">
        <x:v>138.62723571985609</x:v>
      </x:c>
      <x:c r="P81" s="5">
        <x:v>35.229589259082523</x:v>
      </x:c>
      <x:c r="Q81" s="5"/>
      <x:c r="R81" s="5">
        <x:v>77.671339368572205</x:v>
      </x:c>
      <x:c r="S81" s="5">
        <x:f t="shared" si="5"/>
        <x:v>58.83582496791454</x:v>
      </x:c>
      <x:c r="T81" s="5">
        <x:f t="shared" si="6"/>
        <x:v>58.83582496791454</x:v>
      </x:c>
      <x:c r="U81" s="5" t="e">
        <x:f>T81/[1]Model_Parameters!$B$22</x:f>
        <x:v>#NAME?</x:v>
      </x:c>
      <x:c r="V81" s="5">
        <x:v>141.53847184016681</x:v>
      </x:c>
      <x:c r="W81" s="5">
        <x:v>141.53847184016681</x:v>
      </x:c>
      <x:c r="X81" s="5">
        <x:v>91.931768498398995</x:v>
      </x:c>
      <x:c r="Y81" s="3">
        <x:v>6</x:v>
      </x:c>
      <x:c r="Z81" s="3">
        <x:v>0</x:v>
      </x:c>
      <x:c r="AA81" s="3"/>
      <x:c r="AB81" s="2"/>
      <x:c r="AC81" s="3"/>
      <x:c r="AD81" s="3"/>
      <x:c r="AE81" s="2" t="s">
        <x:v>65</x:v>
      </x:c>
      <x:c r="AF81" s="3">
        <x:v>1</x:v>
      </x:c>
      <x:c r="AG81" s="3">
        <x:v>0</x:v>
      </x:c>
      <x:c r="AH81" s="2" t="s">
        <x:v>372</x:v>
      </x:c>
      <x:c r="AI81" s="3">
        <x:v>75</x:v>
      </x:c>
      <x:c r="AJ81" s="3">
        <x:v>0</x:v>
      </x:c>
      <x:c r="AK81" s="2" t="s">
        <x:v>66</x:v>
      </x:c>
      <x:c r="AL81" s="3">
        <x:v>0</x:v>
      </x:c>
      <x:c r="AM81" s="2" t="s">
        <x:v>373</x:v>
      </x:c>
      <x:c r="AN81" s="3">
        <x:v>77</x:v>
      </x:c>
      <x:c r="AO81" s="3">
        <x:v>30</x:v>
      </x:c>
      <x:c r="AP81" s="3">
        <x:v>30</x:v>
      </x:c>
      <x:c r="AQ81" s="5">
        <x:v>63.999448644283731</x:v>
      </x:c>
      <x:c r="AR81" s="5">
        <x:v>58.835824967914668</x:v>
      </x:c>
      <x:c r="AS81" s="5">
        <x:f t="shared" si="7"/>
        <x:v>100.00000000000023</x:v>
      </x:c>
      <x:c r="AT81" s="5">
        <x:v>127.99889728856751</x:v>
      </x:c>
      <x:c r="AU81" s="5">
        <x:v>141.53847184016681</x:v>
      </x:c>
      <x:c r="AV81" s="5">
        <x:v>77.671339368572205</x:v>
      </x:c>
      <x:c r="AW81" s="2" t="b">
        <x:v>0</x:v>
      </x:c>
      <x:c r="AX81" s="2"/>
      <x:c r="AY81" s="2" t="s">
        <x:v>68</x:v>
      </x:c>
      <x:c r="AZ81" s="6">
        <x:v>75</x:v>
      </x:c>
      <x:c r="BA81" s="6"/>
      <x:c r="BB81" s="7"/>
      <x:c r="BC81" s="7"/>
      <x:c r="BD81" s="8"/>
      <x:c r="BE81" s="2" t="e">
        <x:f>IF(AE81="Blocked","No",IF(AJ81&lt;=[1]Model_Parameters!$B$20,"Yes","No"))</x:f>
        <x:v>#NAME?</x:v>
      </x:c>
      <x:c r="BF81" s="2" t="str">
        <x:f t="shared" si="8"/>
        <x:v>Yes</x:v>
      </x:c>
      <x:c r="BG81" s="2" t="str">
        <x:f t="shared" si="9"/>
        <x:v>Yes</x:v>
      </x:c>
      <x:c r="BH81" s="24"/>
      <x:c r="BI81" s="24"/>
    </x:row>
    <x:row r="82">
      <x:c r="A82" s="2" t="s">
        <x:v>59</x:v>
      </x:c>
      <x:c r="B82" s="3">
        <x:v>144</x:v>
      </x:c>
      <x:c r="C82" s="2" t="s">
        <x:v>374</x:v>
      </x:c>
      <x:c r="D82" s="2" t="s">
        <x:v>375</x:v>
      </x:c>
      <x:c r="E82" s="2" t="s">
        <x:v>62</x:v>
      </x:c>
      <x:c r="F82" s="2" t="s">
        <x:v>63</x:v>
      </x:c>
      <x:c r="G82" s="3">
        <x:v>63</x:v>
      </x:c>
      <x:c r="H82" s="3">
        <x:v>0</x:v>
      </x:c>
      <x:c r="I82" s="3">
        <x:v>120</x:v>
      </x:c>
      <x:c r="J82" s="4">
        <x:v>5.8139534883720929E-2</x:v>
      </x:c>
      <x:c r="K82" s="3">
        <x:v>0</x:v>
      </x:c>
      <x:c r="L82" s="2" t="s">
        <x:v>376</x:v>
      </x:c>
      <x:c r="M82" s="3">
        <x:v>1123</x:v>
      </x:c>
      <x:c r="N82" s="3">
        <x:v>75</x:v>
      </x:c>
      <x:c r="O82" s="5">
        <x:v>108.7188160824972</x:v>
      </x:c>
      <x:c r="P82" s="5">
        <x:v>8.4052378650244481</x:v>
      </x:c>
      <x:c r="Q82" s="5"/>
      <x:c r="R82" s="5">
        <x:v>92.643762911635932</x:v>
      </x:c>
      <x:c r="S82" s="5">
        <x:f t="shared" si="5"/>
        <x:v>91.583127116033879</x:v>
      </x:c>
      <x:c r="T82" s="5">
        <x:f t="shared" si="6"/>
        <x:v>91.583127116033879</x:v>
      </x:c>
      <x:c r="U82" s="5" t="e">
        <x:f>T82/[1]Model_Parameters!$B$22</x:f>
        <x:v>#NAME?</x:v>
      </x:c>
      <x:c r="V82" s="5">
        <x:v>132.28880085711299</x:v>
      </x:c>
      <x:c r="W82" s="5">
        <x:v>132.28880085711299</x:v>
      </x:c>
      <x:c r="X82" s="5">
        <x:v>90.305765297727845</x:v>
      </x:c>
      <x:c r="Y82" s="3">
        <x:v>7</x:v>
      </x:c>
      <x:c r="Z82" s="3">
        <x:v>0</x:v>
      </x:c>
      <x:c r="AA82" s="3"/>
      <x:c r="AB82" s="2"/>
      <x:c r="AC82" s="3"/>
      <x:c r="AD82" s="3"/>
      <x:c r="AE82" s="2" t="s">
        <x:v>65</x:v>
      </x:c>
      <x:c r="AF82" s="3">
        <x:v>2</x:v>
      </x:c>
      <x:c r="AG82" s="3">
        <x:v>0</x:v>
      </x:c>
      <x:c r="AH82" s="2" t="s">
        <x:v>376</x:v>
      </x:c>
      <x:c r="AI82" s="3">
        <x:v>75</x:v>
      </x:c>
      <x:c r="AJ82" s="3">
        <x:v>0</x:v>
      </x:c>
      <x:c r="AK82" s="2" t="s">
        <x:v>66</x:v>
      </x:c>
      <x:c r="AL82" s="3">
        <x:v>0</x:v>
      </x:c>
      <x:c r="AM82" s="2" t="s">
        <x:v>377</x:v>
      </x:c>
      <x:c r="AN82" s="3">
        <x:v>79</x:v>
      </x:c>
      <x:c r="AO82" s="3">
        <x:v>58</x:v>
      </x:c>
      <x:c r="AP82" s="3">
        <x:v>58</x:v>
      </x:c>
      <x:c r="AQ82" s="5">
        <x:v>101.4144853477456</x:v>
      </x:c>
      <x:c r="AR82" s="5">
        <x:v>91.583127116033793</x:v>
      </x:c>
      <x:c r="AS82" s="5">
        <x:f t="shared" si="7"/>
        <x:v>99.999999999999915</x:v>
      </x:c>
      <x:c r="AT82" s="5">
        <x:v>104.9115365666334</x:v>
      </x:c>
      <x:c r="AU82" s="5">
        <x:v>132.28880085711299</x:v>
      </x:c>
      <x:c r="AV82" s="5">
        <x:v>92.643762911635932</x:v>
      </x:c>
      <x:c r="AW82" s="2" t="b">
        <x:v>0</x:v>
      </x:c>
      <x:c r="AX82" s="2"/>
      <x:c r="AY82" s="2" t="s">
        <x:v>68</x:v>
      </x:c>
      <x:c r="AZ82" s="6">
        <x:v>75</x:v>
      </x:c>
      <x:c r="BA82" s="6"/>
      <x:c r="BB82" s="7"/>
      <x:c r="BC82" s="7"/>
      <x:c r="BD82" s="8"/>
      <x:c r="BE82" s="2" t="e">
        <x:f>IF(AE82="Blocked","No",IF(AJ82&lt;=[1]Model_Parameters!$B$20,"Yes","No"))</x:f>
        <x:v>#NAME?</x:v>
      </x:c>
      <x:c r="BF82" s="2" t="str">
        <x:f t="shared" si="8"/>
        <x:v>Yes</x:v>
      </x:c>
      <x:c r="BG82" s="2" t="str">
        <x:f t="shared" si="9"/>
        <x:v>Yes</x:v>
      </x:c>
      <x:c r="BH82" s="24"/>
      <x:c r="BI82" s="24"/>
    </x:row>
    <x:row r="83">
      <x:c r="A83" s="2" t="s">
        <x:v>59</x:v>
      </x:c>
      <x:c r="B83" s="3">
        <x:v>146</x:v>
      </x:c>
      <x:c r="C83" s="2" t="s">
        <x:v>378</x:v>
      </x:c>
      <x:c r="D83" s="2" t="s">
        <x:v>379</x:v>
      </x:c>
      <x:c r="E83" s="2" t="s">
        <x:v>62</x:v>
      </x:c>
      <x:c r="F83" s="2" t="s">
        <x:v>63</x:v>
      </x:c>
      <x:c r="G83" s="3">
        <x:v>64</x:v>
      </x:c>
      <x:c r="H83" s="3">
        <x:v>0</x:v>
      </x:c>
      <x:c r="I83" s="3">
        <x:v>120</x:v>
      </x:c>
      <x:c r="J83" s="4">
        <x:v>5.8139534883720929E-2</x:v>
      </x:c>
      <x:c r="K83" s="3">
        <x:v>0</x:v>
      </x:c>
      <x:c r="L83" s="2" t="s">
        <x:v>380</x:v>
      </x:c>
      <x:c r="M83" s="3">
        <x:v>1130</x:v>
      </x:c>
      <x:c r="N83" s="3">
        <x:v>76</x:v>
      </x:c>
      <x:c r="O83" s="5">
        <x:v>137.3684428724597</x:v>
      </x:c>
      <x:c r="P83" s="5">
        <x:v>36.759826121095188</x:v>
      </x:c>
      <x:c r="Q83" s="5"/>
      <x:c r="R83" s="5">
        <x:v>81.369772476791482</x:v>
      </x:c>
      <x:c r="S83" s="5">
        <x:f t="shared" si="5"/>
        <x:v>61.279988675059577</x:v>
      </x:c>
      <x:c r="T83" s="5">
        <x:f t="shared" si="6"/>
        <x:v>61.279988675059577</x:v>
      </x:c>
      <x:c r="U83" s="5" t="e">
        <x:f>T83/[1]Model_Parameters!$B$22</x:f>
        <x:v>#NAME?</x:v>
      </x:c>
      <x:c r="V83" s="5">
        <x:v>397.22496938295262</x:v>
      </x:c>
      <x:c r="W83" s="5">
        <x:v>397.22496938295262</x:v>
      </x:c>
      <x:c r="X83" s="5">
        <x:v>92.002044708310223</x:v>
      </x:c>
      <x:c r="Y83" s="3">
        <x:v>6</x:v>
      </x:c>
      <x:c r="Z83" s="3">
        <x:v>0</x:v>
      </x:c>
      <x:c r="AA83" s="3"/>
      <x:c r="AB83" s="2"/>
      <x:c r="AC83" s="3"/>
      <x:c r="AD83" s="3"/>
      <x:c r="AE83" s="2" t="s">
        <x:v>65</x:v>
      </x:c>
      <x:c r="AF83" s="3">
        <x:v>4</x:v>
      </x:c>
      <x:c r="AG83" s="3">
        <x:v>0</x:v>
      </x:c>
      <x:c r="AH83" s="2" t="s">
        <x:v>380</x:v>
      </x:c>
      <x:c r="AI83" s="3">
        <x:v>76</x:v>
      </x:c>
      <x:c r="AJ83" s="3">
        <x:v>0</x:v>
      </x:c>
      <x:c r="AK83" s="2" t="s">
        <x:v>66</x:v>
      </x:c>
      <x:c r="AL83" s="3">
        <x:v>0</x:v>
      </x:c>
      <x:c r="AM83" s="2" t="s">
        <x:v>381</x:v>
      </x:c>
      <x:c r="AN83" s="3">
        <x:v>77</x:v>
      </x:c>
      <x:c r="AO83" s="3">
        <x:v>12</x:v>
      </x:c>
      <x:c r="AP83" s="3">
        <x:v>12</x:v>
      </x:c>
      <x:c r="AQ83" s="5">
        <x:v>66.607202991353077</x:v>
      </x:c>
      <x:c r="AR83" s="5">
        <x:v>61.279988675059577</x:v>
      </x:c>
      <x:c r="AS83" s="5">
        <x:f t="shared" si="7"/>
        <x:v>100</x:v>
      </x:c>
      <x:c r="AT83" s="5">
        <x:v>333.03601495676543</x:v>
      </x:c>
      <x:c r="AU83" s="5">
        <x:v>397.22496938295262</x:v>
      </x:c>
      <x:c r="AV83" s="5">
        <x:v>81.369772476791482</x:v>
      </x:c>
      <x:c r="AW83" s="2" t="b">
        <x:v>0</x:v>
      </x:c>
      <x:c r="AX83" s="2"/>
      <x:c r="AY83" s="2" t="s">
        <x:v>68</x:v>
      </x:c>
      <x:c r="AZ83" s="6">
        <x:v>76</x:v>
      </x:c>
      <x:c r="BA83" s="6"/>
      <x:c r="BB83" s="7"/>
      <x:c r="BC83" s="7"/>
      <x:c r="BD83" s="8"/>
      <x:c r="BE83" s="2" t="e">
        <x:f>IF(AE83="Blocked","No",IF(AJ83&lt;=[1]Model_Parameters!$B$20,"Yes","No"))</x:f>
        <x:v>#NAME?</x:v>
      </x:c>
      <x:c r="BF83" s="2" t="str">
        <x:f t="shared" si="8"/>
        <x:v>Yes</x:v>
      </x:c>
      <x:c r="BG83" s="2" t="str">
        <x:f t="shared" si="9"/>
        <x:v>Yes</x:v>
      </x:c>
      <x:c r="BH83" s="24"/>
      <x:c r="BI83" s="24"/>
    </x:row>
    <x:row r="84">
      <x:c r="A84" s="2" t="s">
        <x:v>59</x:v>
      </x:c>
      <x:c r="B84" s="3">
        <x:v>149</x:v>
      </x:c>
      <x:c r="C84" s="2" t="s">
        <x:v>382</x:v>
      </x:c>
      <x:c r="D84" s="2" t="s">
        <x:v>383</x:v>
      </x:c>
      <x:c r="E84" s="2" t="s">
        <x:v>62</x:v>
      </x:c>
      <x:c r="F84" s="2" t="s">
        <x:v>63</x:v>
      </x:c>
      <x:c r="G84" s="3">
        <x:v>65</x:v>
      </x:c>
      <x:c r="H84" s="3">
        <x:v>0</x:v>
      </x:c>
      <x:c r="I84" s="3">
        <x:v>120</x:v>
      </x:c>
      <x:c r="J84" s="4">
        <x:v>9.3023255813953487E-2</x:v>
      </x:c>
      <x:c r="K84" s="3">
        <x:v>0</x:v>
      </x:c>
      <x:c r="L84" s="2" t="s">
        <x:v>381</x:v>
      </x:c>
      <x:c r="M84" s="3">
        <x:v>1142</x:v>
      </x:c>
      <x:c r="N84" s="3">
        <x:v>77</x:v>
      </x:c>
      <x:c r="O84" s="5">
        <x:v>88.248027586641683</x:v>
      </x:c>
      <x:c r="P84" s="5">
        <x:v>4.138507530345489</x:v>
      </x:c>
      <x:c r="Q84" s="5"/>
      <x:c r="R84" s="5">
        <x:v>84.32441210968716</x:v>
      </x:c>
      <x:c r="S84" s="5">
        <x:f t="shared" si="5"/>
        <x:v>70.762479193775604</x:v>
      </x:c>
      <x:c r="T84" s="5">
        <x:f t="shared" si="6"/>
        <x:v>70.762479193775604</x:v>
      </x:c>
      <x:c r="U84" s="5" t="e">
        <x:f>T84/[1]Model_Parameters!$B$22</x:f>
        <x:v>#NAME?</x:v>
      </x:c>
      <x:c r="V84" s="5">
        <x:v>287.85455961205099</x:v>
      </x:c>
      <x:c r="W84" s="5">
        <x:v>287.85455961205099</x:v>
      </x:c>
      <x:c r="X84" s="5">
        <x:v>93.688267691486914</x:v>
      </x:c>
      <x:c r="Y84" s="3">
        <x:v>7</x:v>
      </x:c>
      <x:c r="Z84" s="3">
        <x:v>0</x:v>
      </x:c>
      <x:c r="AA84" s="3"/>
      <x:c r="AB84" s="2"/>
      <x:c r="AC84" s="3"/>
      <x:c r="AD84" s="3"/>
      <x:c r="AE84" s="2" t="s">
        <x:v>65</x:v>
      </x:c>
      <x:c r="AF84" s="3">
        <x:v>7</x:v>
      </x:c>
      <x:c r="AG84" s="3">
        <x:v>0</x:v>
      </x:c>
      <x:c r="AH84" s="2" t="s">
        <x:v>381</x:v>
      </x:c>
      <x:c r="AI84" s="3">
        <x:v>77</x:v>
      </x:c>
      <x:c r="AJ84" s="3">
        <x:v>0</x:v>
      </x:c>
      <x:c r="AK84" s="2" t="s">
        <x:v>66</x:v>
      </x:c>
      <x:c r="AL84" s="3">
        <x:v>0</x:v>
      </x:c>
      <x:c r="AM84" s="2" t="s">
        <x:v>384</x:v>
      </x:c>
      <x:c r="AN84" s="3">
        <x:v>78</x:v>
      </x:c>
      <x:c r="AO84" s="3">
        <x:v>18</x:v>
      </x:c>
      <x:c r="AP84" s="3">
        <x:v>18</x:v>
      </x:c>
      <x:c r="AQ84" s="5">
        <x:v>75.52971245748148</x:v>
      </x:c>
      <x:c r="AR84" s="5">
        <x:v>70.76247919377559</x:v>
      </x:c>
      <x:c r="AS84" s="5">
        <x:f t="shared" si="7"/>
        <x:v>99.999999999999972</x:v>
      </x:c>
      <x:c r="AT84" s="5">
        <x:v>251.76570819160489</x:v>
      </x:c>
      <x:c r="AU84" s="5">
        <x:v>287.85455961205099</x:v>
      </x:c>
      <x:c r="AV84" s="5">
        <x:v>84.32441210968716</x:v>
      </x:c>
      <x:c r="AW84" s="2" t="b">
        <x:v>0</x:v>
      </x:c>
      <x:c r="AX84" s="2"/>
      <x:c r="AY84" s="2" t="s">
        <x:v>68</x:v>
      </x:c>
      <x:c r="AZ84" s="6">
        <x:v>77</x:v>
      </x:c>
      <x:c r="BA84" s="6"/>
      <x:c r="BB84" s="7"/>
      <x:c r="BC84" s="7"/>
      <x:c r="BD84" s="8"/>
      <x:c r="BE84" s="2" t="e">
        <x:f>IF(AE84="Blocked","No",IF(AJ84&lt;=[1]Model_Parameters!$B$20,"Yes","No"))</x:f>
        <x:v>#NAME?</x:v>
      </x:c>
      <x:c r="BF84" s="2" t="str">
        <x:f t="shared" si="8"/>
        <x:v>Yes</x:v>
      </x:c>
      <x:c r="BG84" s="2" t="str">
        <x:f t="shared" si="9"/>
        <x:v>Yes</x:v>
      </x:c>
      <x:c r="BH84" s="24"/>
      <x:c r="BI84" s="24"/>
    </x:row>
    <x:row r="85">
      <x:c r="A85" s="2" t="s">
        <x:v>59</x:v>
      </x:c>
      <x:c r="B85" s="3">
        <x:v>150</x:v>
      </x:c>
      <x:c r="C85" s="2" t="s">
        <x:v>385</x:v>
      </x:c>
      <x:c r="D85" s="2" t="s">
        <x:v>386</x:v>
      </x:c>
      <x:c r="E85" s="2" t="s">
        <x:v>62</x:v>
      </x:c>
      <x:c r="F85" s="2" t="s">
        <x:v>63</x:v>
      </x:c>
      <x:c r="G85" s="3">
        <x:v>66</x:v>
      </x:c>
      <x:c r="H85" s="3">
        <x:v>0</x:v>
      </x:c>
      <x:c r="I85" s="3">
        <x:v>120</x:v>
      </x:c>
      <x:c r="J85" s="4">
        <x:v>9.3023255813953487E-2</x:v>
      </x:c>
      <x:c r="K85" s="3">
        <x:v>0</x:v>
      </x:c>
      <x:c r="L85" s="2" t="s">
        <x:v>373</x:v>
      </x:c>
      <x:c r="M85" s="3">
        <x:v>1149</x:v>
      </x:c>
      <x:c r="N85" s="3">
        <x:v>77</x:v>
      </x:c>
      <x:c r="O85" s="5">
        <x:v>67.471663985039243</x:v>
      </x:c>
      <x:c r="P85" s="5">
        <x:v>14.275099601740109</x:v>
      </x:c>
      <x:c r="Q85" s="5"/>
      <x:c r="R85" s="5">
        <x:v>73.028859465315733</x:v>
      </x:c>
      <x:c r="S85" s="5">
        <x:f t="shared" si="5"/>
        <x:v>39.642139433728595</x:v>
      </x:c>
      <x:c r="T85" s="5">
        <x:f t="shared" si="6"/>
        <x:v>39.642139433728595</x:v>
      </x:c>
      <x:c r="U85" s="5" t="e">
        <x:f>T85/[1]Model_Parameters!$B$22</x:f>
        <x:v>#NAME?</x:v>
      </x:c>
      <x:c r="V85" s="5">
        <x:v>371.51294464159059</x:v>
      </x:c>
      <x:c r="W85" s="5">
        <x:v>371.51294464159059</x:v>
      </x:c>
      <x:c r="X85" s="5">
        <x:v>90.91383905904712</x:v>
      </x:c>
      <x:c r="Y85" s="3">
        <x:v>3</x:v>
      </x:c>
      <x:c r="Z85" s="3">
        <x:v>0</x:v>
      </x:c>
      <x:c r="AA85" s="3"/>
      <x:c r="AB85" s="2"/>
      <x:c r="AC85" s="3"/>
      <x:c r="AD85" s="3"/>
      <x:c r="AE85" s="2" t="s">
        <x:v>65</x:v>
      </x:c>
      <x:c r="AF85" s="3">
        <x:v>8</x:v>
      </x:c>
      <x:c r="AG85" s="3">
        <x:v>0</x:v>
      </x:c>
      <x:c r="AH85" s="2" t="s">
        <x:v>373</x:v>
      </x:c>
      <x:c r="AI85" s="3">
        <x:v>77</x:v>
      </x:c>
      <x:c r="AJ85" s="3">
        <x:v>0</x:v>
      </x:c>
      <x:c r="AK85" s="2" t="s">
        <x:v>66</x:v>
      </x:c>
      <x:c r="AL85" s="3">
        <x:v>0</x:v>
      </x:c>
      <x:c r="AM85" s="2" t="s">
        <x:v>387</x:v>
      </x:c>
      <x:c r="AN85" s="3">
        <x:v>78</x:v>
      </x:c>
      <x:c r="AO85" s="3">
        <x:v>8</x:v>
      </x:c>
      <x:c r="AP85" s="3">
        <x:v>8</x:v>
      </x:c>
      <x:c r="AQ85" s="5">
        <x:v>43.604075951496931</x:v>
      </x:c>
      <x:c r="AR85" s="5">
        <x:v>39.642139433728588</x:v>
      </x:c>
      <x:c r="AS85" s="5">
        <x:f t="shared" si="7"/>
        <x:v>99.999999999999972</x:v>
      </x:c>
      <x:c r="AT85" s="5">
        <x:v>327.03056963622703</x:v>
      </x:c>
      <x:c r="AU85" s="5">
        <x:v>371.51294464159071</x:v>
      </x:c>
      <x:c r="AV85" s="5">
        <x:v>73.028859465315733</x:v>
      </x:c>
      <x:c r="AW85" s="2" t="b">
        <x:v>0</x:v>
      </x:c>
      <x:c r="AX85" s="2"/>
      <x:c r="AY85" s="2" t="s">
        <x:v>68</x:v>
      </x:c>
      <x:c r="AZ85" s="6">
        <x:v>77</x:v>
      </x:c>
      <x:c r="BA85" s="6"/>
      <x:c r="BB85" s="7"/>
      <x:c r="BC85" s="7"/>
      <x:c r="BD85" s="8"/>
      <x:c r="BE85" s="2" t="e">
        <x:f>IF(AE85="Blocked","No",IF(AJ85&lt;=[1]Model_Parameters!$B$20,"Yes","No"))</x:f>
        <x:v>#NAME?</x:v>
      </x:c>
      <x:c r="BF85" s="2" t="str">
        <x:f t="shared" si="8"/>
        <x:v>Yes</x:v>
      </x:c>
      <x:c r="BG85" s="2" t="str">
        <x:f t="shared" si="9"/>
        <x:v>Yes</x:v>
      </x:c>
      <x:c r="BH85" s="24"/>
      <x:c r="BI85" s="24"/>
    </x:row>
    <x:row r="86">
      <x:c r="A86" s="2" t="s">
        <x:v>59</x:v>
      </x:c>
      <x:c r="B86" s="3">
        <x:v>153</x:v>
      </x:c>
      <x:c r="C86" s="2" t="s">
        <x:v>388</x:v>
      </x:c>
      <x:c r="D86" s="2" t="s">
        <x:v>389</x:v>
      </x:c>
      <x:c r="E86" s="2" t="s">
        <x:v>62</x:v>
      </x:c>
      <x:c r="F86" s="2" t="s">
        <x:v>63</x:v>
      </x:c>
      <x:c r="G86" s="3">
        <x:v>67</x:v>
      </x:c>
      <x:c r="H86" s="3">
        <x:v>0</x:v>
      </x:c>
      <x:c r="I86" s="3">
        <x:v>120</x:v>
      </x:c>
      <x:c r="J86" s="4">
        <x:v>9.3023255813953487E-2</x:v>
      </x:c>
      <x:c r="K86" s="3">
        <x:v>0</x:v>
      </x:c>
      <x:c r="L86" s="2" t="s">
        <x:v>390</x:v>
      </x:c>
      <x:c r="M86" s="3">
        <x:v>1154</x:v>
      </x:c>
      <x:c r="N86" s="3">
        <x:v>77</x:v>
      </x:c>
      <x:c r="O86" s="5">
        <x:v>143.24980675259911</x:v>
      </x:c>
      <x:c r="P86" s="5">
        <x:v>30.044810604151341</x:v>
      </x:c>
      <x:c r="Q86" s="5"/>
      <x:c r="R86" s="5">
        <x:v>67.805610450399911</x:v>
      </x:c>
      <x:c r="S86" s="5">
        <x:f t="shared" si="5"/>
        <x:v>54.092272807986831</x:v>
      </x:c>
      <x:c r="T86" s="5">
        <x:f t="shared" si="6"/>
        <x:v>54.092272807986831</x:v>
      </x:c>
      <x:c r="U86" s="5" t="e">
        <x:f>T86/[1]Model_Parameters!$B$22</x:f>
        <x:v>#NAME?</x:v>
      </x:c>
      <x:c r="V86" s="5">
        <x:v>374.45616126320289</x:v>
      </x:c>
      <x:c r="W86" s="5">
        <x:v>374.45616126320289</x:v>
      </x:c>
      <x:c r="X86" s="5">
        <x:v>94.778228639074925</x:v>
      </x:c>
      <x:c r="Y86" s="3">
        <x:v>6</x:v>
      </x:c>
      <x:c r="Z86" s="3">
        <x:v>0</x:v>
      </x:c>
      <x:c r="AA86" s="3"/>
      <x:c r="AB86" s="2"/>
      <x:c r="AC86" s="3"/>
      <x:c r="AD86" s="3"/>
      <x:c r="AE86" s="2" t="s">
        <x:v>65</x:v>
      </x:c>
      <x:c r="AF86" s="3">
        <x:v>1</x:v>
      </x:c>
      <x:c r="AG86" s="3">
        <x:v>0</x:v>
      </x:c>
      <x:c r="AH86" s="2" t="s">
        <x:v>390</x:v>
      </x:c>
      <x:c r="AI86" s="3">
        <x:v>77</x:v>
      </x:c>
      <x:c r="AJ86" s="3">
        <x:v>0</x:v>
      </x:c>
      <x:c r="AK86" s="2" t="s">
        <x:v>66</x:v>
      </x:c>
      <x:c r="AL86" s="3">
        <x:v>0</x:v>
      </x:c>
      <x:c r="AM86" s="2" t="s">
        <x:v>391</x:v>
      </x:c>
      <x:c r="AN86" s="3">
        <x:v>78</x:v>
      </x:c>
      <x:c r="AO86" s="3">
        <x:v>10</x:v>
      </x:c>
      <x:c r="AP86" s="3">
        <x:v>10</x:v>
      </x:c>
      <x:c r="AQ86" s="5">
        <x:v>57.072466519685321</x:v>
      </x:c>
      <x:c r="AR86" s="5">
        <x:v>54.092272807986831</x:v>
      </x:c>
      <x:c r="AS86" s="5">
        <x:f t="shared" si="7"/>
        <x:v>100</x:v>
      </x:c>
      <x:c r="AT86" s="5">
        <x:v>342.43479911811193</x:v>
      </x:c>
      <x:c r="AU86" s="5">
        <x:v>374.45616126320289</x:v>
      </x:c>
      <x:c r="AV86" s="5">
        <x:v>67.805610450399911</x:v>
      </x:c>
      <x:c r="AW86" s="2" t="b">
        <x:v>0</x:v>
      </x:c>
      <x:c r="AX86" s="2"/>
      <x:c r="AY86" s="2" t="s">
        <x:v>68</x:v>
      </x:c>
      <x:c r="AZ86" s="6">
        <x:v>77</x:v>
      </x:c>
      <x:c r="BA86" s="6"/>
      <x:c r="BB86" s="7"/>
      <x:c r="BC86" s="7"/>
      <x:c r="BD86" s="8"/>
      <x:c r="BE86" s="2" t="e">
        <x:f>IF(AE86="Blocked","No",IF(AJ86&lt;=[1]Model_Parameters!$B$20,"Yes","No"))</x:f>
        <x:v>#NAME?</x:v>
      </x:c>
      <x:c r="BF86" s="2" t="str">
        <x:f t="shared" si="8"/>
        <x:v>Yes</x:v>
      </x:c>
      <x:c r="BG86" s="2" t="str">
        <x:f t="shared" si="9"/>
        <x:v>Yes</x:v>
      </x:c>
      <x:c r="BH86" s="24"/>
      <x:c r="BI86" s="24"/>
    </x:row>
    <x:row r="87">
      <x:c r="A87" s="2" t="s">
        <x:v>59</x:v>
      </x:c>
      <x:c r="B87" s="3">
        <x:v>154</x:v>
      </x:c>
      <x:c r="C87" s="2" t="s">
        <x:v>392</x:v>
      </x:c>
      <x:c r="D87" s="2" t="s">
        <x:v>393</x:v>
      </x:c>
      <x:c r="E87" s="2" t="s">
        <x:v>79</x:v>
      </x:c>
      <x:c r="F87" s="2" t="s">
        <x:v>80</x:v>
      </x:c>
      <x:c r="G87" s="3">
        <x:v>19</x:v>
      </x:c>
      <x:c r="H87" s="3">
        <x:v>1</x:v>
      </x:c>
      <x:c r="I87" s="3">
        <x:v>30</x:v>
      </x:c>
      <x:c r="J87" s="4">
        <x:v>8.5470085470085458E-2</x:v>
      </x:c>
      <x:c r="K87" s="3">
        <x:v>0</x:v>
      </x:c>
      <x:c r="L87" s="2" t="s">
        <x:v>394</x:v>
      </x:c>
      <x:c r="M87" s="3">
        <x:v>1155</x:v>
      </x:c>
      <x:c r="N87" s="3">
        <x:v>78</x:v>
      </x:c>
      <x:c r="O87" s="5">
        <x:v>79.56934955541179</x:v>
      </x:c>
      <x:c r="P87" s="5">
        <x:v>39.457079809894147</x:v>
      </x:c>
      <x:c r="Q87" s="5"/>
      <x:c r="R87" s="5">
        <x:v>57.12744458232828</x:v>
      </x:c>
      <x:c r="S87" s="5">
        <x:f t="shared" si="5"/>
        <x:v>14.06019431349446</x:v>
      </x:c>
      <x:c r="T87" s="5">
        <x:f t="shared" si="6"/>
        <x:v>14.06019431349446</x:v>
      </x:c>
      <x:c r="U87" s="5" t="e">
        <x:f>T87/[1]Model_Parameters!$B$22</x:f>
        <x:v>#NAME?</x:v>
      </x:c>
      <x:c r="V87" s="5">
        <x:v>164.6397027862142</x:v>
      </x:c>
      <x:c r="W87" s="5">
        <x:v>164.6397027862142</x:v>
      </x:c>
      <x:c r="X87" s="5">
        <x:v>93.787806696838388</x:v>
      </x:c>
      <x:c r="Y87" s="3">
        <x:v>7</x:v>
      </x:c>
      <x:c r="Z87" s="3">
        <x:v>0</x:v>
      </x:c>
      <x:c r="AA87" s="3"/>
      <x:c r="AB87" s="2"/>
      <x:c r="AC87" s="3"/>
      <x:c r="AD87" s="3"/>
      <x:c r="AE87" s="2" t="s">
        <x:v>65</x:v>
      </x:c>
      <x:c r="AF87" s="3">
        <x:v>4</x:v>
      </x:c>
      <x:c r="AG87" s="3">
        <x:v>0</x:v>
      </x:c>
      <x:c r="AH87" s="2" t="s">
        <x:v>394</x:v>
      </x:c>
      <x:c r="AI87" s="3">
        <x:v>78</x:v>
      </x:c>
      <x:c r="AJ87" s="3">
        <x:v>0</x:v>
      </x:c>
      <x:c r="AK87" s="2" t="s">
        <x:v>66</x:v>
      </x:c>
      <x:c r="AL87" s="3">
        <x:v>0</x:v>
      </x:c>
      <x:c r="AM87" s="2" t="s">
        <x:v>395</x:v>
      </x:c>
      <x:c r="AN87" s="3">
        <x:v>78</x:v>
      </x:c>
      <x:c r="AO87" s="3">
        <x:v>6</x:v>
      </x:c>
      <x:c r="AP87" s="3">
        <x:v>6</x:v>
      </x:c>
      <x:c r="AQ87" s="5">
        <x:v>14.99149495940652</x:v>
      </x:c>
      <x:c r="AR87" s="5">
        <x:v>14.06019431349446</x:v>
      </x:c>
      <x:c r="AS87" s="5">
        <x:f t="shared" si="7"/>
        <x:v>100</x:v>
      </x:c>
      <x:c r="AT87" s="5">
        <x:v>149.91494959406521</x:v>
      </x:c>
      <x:c r="AU87" s="5">
        <x:v>164.6397027862142</x:v>
      </x:c>
      <x:c r="AV87" s="5">
        <x:v>57.12744458232828</x:v>
      </x:c>
      <x:c r="AW87" s="2" t="b">
        <x:v>0</x:v>
      </x:c>
      <x:c r="AX87" s="2"/>
      <x:c r="AY87" s="2" t="s">
        <x:v>83</x:v>
      </x:c>
      <x:c r="AZ87" s="6">
        <x:v>78</x:v>
      </x:c>
      <x:c r="BA87" s="6"/>
      <x:c r="BB87" s="7"/>
      <x:c r="BC87" s="7"/>
      <x:c r="BD87" s="8"/>
      <x:c r="BE87" s="2" t="e">
        <x:f>IF(AE87="Blocked","No",IF(AJ87&lt;=[1]Model_Parameters!$B$20,"Yes","No"))</x:f>
        <x:v>#NAME?</x:v>
      </x:c>
      <x:c r="BF87" s="2" t="str">
        <x:f t="shared" si="8"/>
        <x:v>Yes</x:v>
      </x:c>
      <x:c r="BG87" s="2" t="str">
        <x:f t="shared" si="9"/>
        <x:v>Yes</x:v>
      </x:c>
      <x:c r="BH87" s="24" t="str">
        <x:v>17:15</x:v>
      </x:c>
      <x:c r="BI87" s="24" t="str">
        <x:v>23:30</x:v>
      </x:c>
    </x:row>
    <x:row r="88">
      <x:c r="A88" s="2" t="s">
        <x:v>59</x:v>
      </x:c>
      <x:c r="B88" s="3">
        <x:v>156</x:v>
      </x:c>
      <x:c r="C88" s="2" t="s">
        <x:v>396</x:v>
      </x:c>
      <x:c r="D88" s="2" t="s">
        <x:v>397</x:v>
      </x:c>
      <x:c r="E88" s="2" t="s">
        <x:v>62</x:v>
      </x:c>
      <x:c r="F88" s="2" t="s">
        <x:v>63</x:v>
      </x:c>
      <x:c r="G88" s="3">
        <x:v>68</x:v>
      </x:c>
      <x:c r="H88" s="3">
        <x:v>0</x:v>
      </x:c>
      <x:c r="I88" s="3">
        <x:v>120</x:v>
      </x:c>
      <x:c r="J88" s="4">
        <x:v>9.3023255813953487E-2</x:v>
      </x:c>
      <x:c r="K88" s="3">
        <x:v>0</x:v>
      </x:c>
      <x:c r="L88" s="2" t="s">
        <x:v>384</x:v>
      </x:c>
      <x:c r="M88" s="3">
        <x:v>1160</x:v>
      </x:c>
      <x:c r="N88" s="3">
        <x:v>78</x:v>
      </x:c>
      <x:c r="O88" s="5">
        <x:v>105.22627616083309</x:v>
      </x:c>
      <x:c r="P88" s="5">
        <x:v>35.673249468476129</x:v>
      </x:c>
      <x:c r="Q88" s="5"/>
      <x:c r="R88" s="5">
        <x:v>97.090342996339075</x:v>
      </x:c>
      <x:c r="S88" s="5">
        <x:f t="shared" si="5"/>
        <x:v>64.626920445586208</x:v>
      </x:c>
      <x:c r="T88" s="5">
        <x:f t="shared" si="6"/>
        <x:v>64.626920445586208</x:v>
      </x:c>
      <x:c r="U88" s="5" t="e">
        <x:f>T88/[1]Model_Parameters!$B$22</x:f>
        <x:v>#NAME?</x:v>
      </x:c>
      <x:c r="V88" s="5">
        <x:v>250.59510968529699</x:v>
      </x:c>
      <x:c r="W88" s="5">
        <x:v>250.59510968529699</x:v>
      </x:c>
      <x:c r="X88" s="5">
        <x:v>93.721519081815615</x:v>
      </x:c>
      <x:c r="Y88" s="3">
        <x:v>5</x:v>
      </x:c>
      <x:c r="Z88" s="3">
        <x:v>0</x:v>
      </x:c>
      <x:c r="AA88" s="3"/>
      <x:c r="AB88" s="2"/>
      <x:c r="AC88" s="3"/>
      <x:c r="AD88" s="3"/>
      <x:c r="AE88" s="2" t="s">
        <x:v>65</x:v>
      </x:c>
      <x:c r="AF88" s="3">
        <x:v>6</x:v>
      </x:c>
      <x:c r="AG88" s="3">
        <x:v>0</x:v>
      </x:c>
      <x:c r="AH88" s="2" t="s">
        <x:v>384</x:v>
      </x:c>
      <x:c r="AI88" s="3">
        <x:v>78</x:v>
      </x:c>
      <x:c r="AJ88" s="3">
        <x:v>0</x:v>
      </x:c>
      <x:c r="AK88" s="2" t="s">
        <x:v>66</x:v>
      </x:c>
      <x:c r="AL88" s="3">
        <x:v>0</x:v>
      </x:c>
      <x:c r="AM88" s="2" t="s">
        <x:v>398</x:v>
      </x:c>
      <x:c r="AN88" s="3">
        <x:v>80</x:v>
      </x:c>
      <x:c r="AO88" s="3">
        <x:v>30</x:v>
      </x:c>
      <x:c r="AP88" s="3">
        <x:v>30</x:v>
      </x:c>
      <x:c r="AQ88" s="5">
        <x:v>68.956330497768775</x:v>
      </x:c>
      <x:c r="AR88" s="5">
        <x:v>64.626920445586194</x:v>
      </x:c>
      <x:c r="AS88" s="5">
        <x:f t="shared" si="7"/>
        <x:v>99.999999999999972</x:v>
      </x:c>
      <x:c r="AT88" s="5">
        <x:v>137.91266099553749</x:v>
      </x:c>
      <x:c r="AU88" s="5">
        <x:v>250.59510968529699</x:v>
      </x:c>
      <x:c r="AV88" s="5">
        <x:v>97.090342996339075</x:v>
      </x:c>
      <x:c r="AW88" s="2" t="b">
        <x:v>0</x:v>
      </x:c>
      <x:c r="AX88" s="2"/>
      <x:c r="AY88" s="2" t="s">
        <x:v>68</x:v>
      </x:c>
      <x:c r="AZ88" s="6">
        <x:v>78</x:v>
      </x:c>
      <x:c r="BA88" s="6"/>
      <x:c r="BB88" s="7"/>
      <x:c r="BC88" s="7"/>
      <x:c r="BD88" s="8"/>
      <x:c r="BE88" s="2" t="e">
        <x:f>IF(AE88="Blocked","No",IF(AJ88&lt;=[1]Model_Parameters!$B$20,"Yes","No"))</x:f>
        <x:v>#NAME?</x:v>
      </x:c>
      <x:c r="BF88" s="2" t="str">
        <x:f t="shared" si="8"/>
        <x:v>Yes</x:v>
      </x:c>
      <x:c r="BG88" s="2" t="str">
        <x:f t="shared" si="9"/>
        <x:v>Yes</x:v>
      </x:c>
      <x:c r="BH88" s="24"/>
      <x:c r="BI88" s="24"/>
    </x:row>
    <x:row r="89">
      <x:c r="A89" s="2" t="s">
        <x:v>59</x:v>
      </x:c>
      <x:c r="B89" s="3">
        <x:v>161</x:v>
      </x:c>
      <x:c r="C89" s="2" t="s">
        <x:v>399</x:v>
      </x:c>
      <x:c r="D89" s="2" t="s">
        <x:v>400</x:v>
      </x:c>
      <x:c r="E89" s="2" t="s">
        <x:v>79</x:v>
      </x:c>
      <x:c r="F89" s="2" t="s">
        <x:v>80</x:v>
      </x:c>
      <x:c r="G89" s="3">
        <x:v>20</x:v>
      </x:c>
      <x:c r="H89" s="3">
        <x:v>1</x:v>
      </x:c>
      <x:c r="I89" s="3">
        <x:v>30</x:v>
      </x:c>
      <x:c r="J89" s="4">
        <x:v>8.5470085470085458E-2</x:v>
      </x:c>
      <x:c r="K89" s="3">
        <x:v>0</x:v>
      </x:c>
      <x:c r="L89" s="2" t="s">
        <x:v>401</x:v>
      </x:c>
      <x:c r="M89" s="3">
        <x:v>1166</x:v>
      </x:c>
      <x:c r="N89" s="3">
        <x:v>78</x:v>
      </x:c>
      <x:c r="O89" s="5">
        <x:v>89.253664188844084</x:v>
      </x:c>
      <x:c r="P89" s="5">
        <x:v>21.29782710721712</x:v>
      </x:c>
      <x:c r="Q89" s="5"/>
      <x:c r="R89" s="5">
        <x:v>55.350198859992958</x:v>
      </x:c>
      <x:c r="S89" s="5">
        <x:f t="shared" si="5"/>
        <x:v>30.392989532559351</x:v>
      </x:c>
      <x:c r="T89" s="5">
        <x:f t="shared" si="6"/>
        <x:v>30.392989532559351</x:v>
      </x:c>
      <x:c r="U89" s="5" t="e">
        <x:f>T89/[1]Model_Parameters!$B$22</x:f>
        <x:v>#NAME?</x:v>
      </x:c>
      <x:c r="V89" s="5">
        <x:v>186.7727441650311</x:v>
      </x:c>
      <x:c r="W89" s="5">
        <x:v>186.7727441650311</x:v>
      </x:c>
      <x:c r="X89" s="5">
        <x:v>91.531254697228789</x:v>
      </x:c>
      <x:c r="Y89" s="3">
        <x:v>6</x:v>
      </x:c>
      <x:c r="Z89" s="3">
        <x:v>0</x:v>
      </x:c>
      <x:c r="AA89" s="3"/>
      <x:c r="AB89" s="2"/>
      <x:c r="AC89" s="3"/>
      <x:c r="AD89" s="3"/>
      <x:c r="AE89" s="2" t="s">
        <x:v>65</x:v>
      </x:c>
      <x:c r="AF89" s="3">
        <x:v>1</x:v>
      </x:c>
      <x:c r="AG89" s="3">
        <x:v>0</x:v>
      </x:c>
      <x:c r="AH89" s="2" t="s">
        <x:v>401</x:v>
      </x:c>
      <x:c r="AI89" s="3">
        <x:v>78</x:v>
      </x:c>
      <x:c r="AJ89" s="3">
        <x:v>0</x:v>
      </x:c>
      <x:c r="AK89" s="2" t="s">
        <x:v>66</x:v>
      </x:c>
      <x:c r="AL89" s="3">
        <x:v>0</x:v>
      </x:c>
      <x:c r="AM89" s="2" t="s">
        <x:v>402</x:v>
      </x:c>
      <x:c r="AN89" s="3">
        <x:v>79</x:v>
      </x:c>
      <x:c r="AO89" s="3">
        <x:v>11</x:v>
      </x:c>
      <x:c r="AP89" s="3">
        <x:v>11</x:v>
      </x:c>
      <x:c r="AQ89" s="5">
        <x:v>33.20503977913846</x:v>
      </x:c>
      <x:c r="AR89" s="5">
        <x:v>30.392989532559351</x:v>
      </x:c>
      <x:c r="AS89" s="5">
        <x:f t="shared" si="7"/>
        <x:v>100</x:v>
      </x:c>
      <x:c r="AT89" s="5">
        <x:v>181.11839879530069</x:v>
      </x:c>
      <x:c r="AU89" s="5">
        <x:v>186.7727441650311</x:v>
      </x:c>
      <x:c r="AV89" s="5">
        <x:v>55.350198859992958</x:v>
      </x:c>
      <x:c r="AW89" s="2" t="b">
        <x:v>0</x:v>
      </x:c>
      <x:c r="AX89" s="2"/>
      <x:c r="AY89" s="2" t="s">
        <x:v>83</x:v>
      </x:c>
      <x:c r="AZ89" s="6">
        <x:v>78</x:v>
      </x:c>
      <x:c r="BA89" s="6"/>
      <x:c r="BB89" s="7"/>
      <x:c r="BC89" s="7"/>
      <x:c r="BD89" s="8"/>
      <x:c r="BE89" s="2" t="e">
        <x:f>IF(AE89="Blocked","No",IF(AJ89&lt;=[1]Model_Parameters!$B$20,"Yes","No"))</x:f>
        <x:v>#NAME?</x:v>
      </x:c>
      <x:c r="BF89" s="2" t="str">
        <x:f t="shared" si="8"/>
        <x:v>Yes</x:v>
      </x:c>
      <x:c r="BG89" s="2" t="str">
        <x:f t="shared" si="9"/>
        <x:v>Yes</x:v>
      </x:c>
      <x:c r="BH89" s="24" t="str">
        <x:v>17:15</x:v>
      </x:c>
      <x:c r="BI89" s="24" t="str">
        <x:v>23:45</x:v>
      </x:c>
    </x:row>
    <x:row r="90">
      <x:c r="A90" s="2" t="s">
        <x:v>59</x:v>
      </x:c>
      <x:c r="B90" s="3">
        <x:v>162</x:v>
      </x:c>
      <x:c r="C90" s="2" t="s">
        <x:v>403</x:v>
      </x:c>
      <x:c r="D90" s="2" t="s">
        <x:v>404</x:v>
      </x:c>
      <x:c r="E90" s="2" t="s">
        <x:v>62</x:v>
      </x:c>
      <x:c r="F90" s="2" t="s">
        <x:v>63</x:v>
      </x:c>
      <x:c r="G90" s="3">
        <x:v>69</x:v>
      </x:c>
      <x:c r="H90" s="3">
        <x:v>0</x:v>
      </x:c>
      <x:c r="I90" s="3">
        <x:v>120</x:v>
      </x:c>
      <x:c r="J90" s="4">
        <x:v>9.3023255813953487E-2</x:v>
      </x:c>
      <x:c r="K90" s="3">
        <x:v>0</x:v>
      </x:c>
      <x:c r="L90" s="2" t="s">
        <x:v>405</x:v>
      </x:c>
      <x:c r="M90" s="3">
        <x:v>1167</x:v>
      </x:c>
      <x:c r="N90" s="3">
        <x:v>78</x:v>
      </x:c>
      <x:c r="O90" s="5">
        <x:v>166.6157128253252</x:v>
      </x:c>
      <x:c r="P90" s="5">
        <x:v>12.852154986250479</x:v>
      </x:c>
      <x:c r="Q90" s="5"/>
      <x:c r="R90" s="5">
        <x:v>90.265163032142254</x:v>
      </x:c>
      <x:c r="S90" s="5">
        <x:f t="shared" si="5"/>
        <x:v>128.98223517518892</x:v>
      </x:c>
      <x:c r="T90" s="5">
        <x:f t="shared" si="6"/>
        <x:v>128.98223517518892</x:v>
      </x:c>
      <x:c r="U90" s="5" t="e">
        <x:f>T90/[1]Model_Parameters!$B$22</x:f>
        <x:v>#NAME?</x:v>
      </x:c>
      <x:c r="V90" s="5">
        <x:v>263.38908042977948</x:v>
      </x:c>
      <x:c r="W90" s="5">
        <x:v>263.38908042977948</x:v>
      </x:c>
      <x:c r="X90" s="5">
        <x:v>91.379180512664306</x:v>
      </x:c>
      <x:c r="Y90" s="3">
        <x:v>7</x:v>
      </x:c>
      <x:c r="Z90" s="3">
        <x:v>0</x:v>
      </x:c>
      <x:c r="AA90" s="3"/>
      <x:c r="AB90" s="2"/>
      <x:c r="AC90" s="3"/>
      <x:c r="AD90" s="3"/>
      <x:c r="AE90" s="2" t="s">
        <x:v>65</x:v>
      </x:c>
      <x:c r="AF90" s="3">
        <x:v>3</x:v>
      </x:c>
      <x:c r="AG90" s="3">
        <x:v>0</x:v>
      </x:c>
      <x:c r="AH90" s="2" t="s">
        <x:v>405</x:v>
      </x:c>
      <x:c r="AI90" s="3">
        <x:v>78</x:v>
      </x:c>
      <x:c r="AJ90" s="3">
        <x:v>0</x:v>
      </x:c>
      <x:c r="AK90" s="2" t="s">
        <x:v>66</x:v>
      </x:c>
      <x:c r="AL90" s="3">
        <x:v>0</x:v>
      </x:c>
      <x:c r="AM90" s="2" t="s">
        <x:v>406</x:v>
      </x:c>
      <x:c r="AN90" s="3">
        <x:v>81</x:v>
      </x:c>
      <x:c r="AO90" s="3">
        <x:v>42</x:v>
      </x:c>
      <x:c r="AP90" s="3">
        <x:v>42</x:v>
      </x:c>
      <x:c r="AQ90" s="5">
        <x:v>141.1505711164844</x:v>
      </x:c>
      <x:c r="AR90" s="5">
        <x:v>128.982235175189</x:v>
      </x:c>
      <x:c r="AS90" s="5">
        <x:f t="shared" si="7"/>
        <x:v>100.00000000000007</x:v>
      </x:c>
      <x:c r="AT90" s="5">
        <x:v>201.64367302354921</x:v>
      </x:c>
      <x:c r="AU90" s="5">
        <x:v>263.38908042977943</x:v>
      </x:c>
      <x:c r="AV90" s="5">
        <x:v>90.265163032142254</x:v>
      </x:c>
      <x:c r="AW90" s="2" t="b">
        <x:v>0</x:v>
      </x:c>
      <x:c r="AX90" s="2"/>
      <x:c r="AY90" s="2" t="s">
        <x:v>68</x:v>
      </x:c>
      <x:c r="AZ90" s="6">
        <x:v>78</x:v>
      </x:c>
      <x:c r="BA90" s="6"/>
      <x:c r="BB90" s="7"/>
      <x:c r="BC90" s="7"/>
      <x:c r="BD90" s="8"/>
      <x:c r="BE90" s="2" t="e">
        <x:f>IF(AE90="Blocked","No",IF(AJ90&lt;=[1]Model_Parameters!$B$20,"Yes","No"))</x:f>
        <x:v>#NAME?</x:v>
      </x:c>
      <x:c r="BF90" s="2" t="str">
        <x:f t="shared" si="8"/>
        <x:v>Yes</x:v>
      </x:c>
      <x:c r="BG90" s="2" t="str">
        <x:f t="shared" si="9"/>
        <x:v>Yes</x:v>
      </x:c>
      <x:c r="BH90" s="24"/>
      <x:c r="BI90" s="24"/>
    </x:row>
    <x:row r="91">
      <x:c r="A91" s="2" t="s">
        <x:v>59</x:v>
      </x:c>
      <x:c r="B91" s="3">
        <x:v>163</x:v>
      </x:c>
      <x:c r="C91" s="2" t="s">
        <x:v>407</x:v>
      </x:c>
      <x:c r="D91" s="2" t="s">
        <x:v>408</x:v>
      </x:c>
      <x:c r="E91" s="2" t="s">
        <x:v>79</x:v>
      </x:c>
      <x:c r="F91" s="2" t="s">
        <x:v>80</x:v>
      </x:c>
      <x:c r="G91" s="3">
        <x:v>21</x:v>
      </x:c>
      <x:c r="H91" s="3">
        <x:v>1</x:v>
      </x:c>
      <x:c r="I91" s="3">
        <x:v>30</x:v>
      </x:c>
      <x:c r="J91" s="4">
        <x:v>8.5470085470085458E-2</x:v>
      </x:c>
      <x:c r="K91" s="3">
        <x:v>0</x:v>
      </x:c>
      <x:c r="L91" s="2" t="s">
        <x:v>409</x:v>
      </x:c>
      <x:c r="M91" s="3">
        <x:v>1169</x:v>
      </x:c>
      <x:c r="N91" s="3">
        <x:v>78</x:v>
      </x:c>
      <x:c r="O91" s="5">
        <x:v>72.544489866930164</x:v>
      </x:c>
      <x:c r="P91" s="5">
        <x:v>12.814931523089729</x:v>
      </x:c>
      <x:c r="Q91" s="5"/>
      <x:c r="R91" s="5">
        <x:v>54.410118535787191</x:v>
      </x:c>
      <x:c r="S91" s="5">
        <x:f t="shared" si="5"/>
        <x:v>30.175016227556966</x:v>
      </x:c>
      <x:c r="T91" s="5">
        <x:f t="shared" si="6"/>
        <x:v>30.175016227556966</x:v>
      </x:c>
      <x:c r="U91" s="5" t="e">
        <x:f>T91/[1]Model_Parameters!$B$22</x:f>
        <x:v>#NAME?</x:v>
      </x:c>
      <x:c r="V91" s="5">
        <x:v>364.47998504965761</x:v>
      </x:c>
      <x:c r="W91" s="5">
        <x:v>364.47998504965761</x:v>
      </x:c>
      <x:c r="X91" s="5">
        <x:v>91.761107792363305</x:v>
      </x:c>
      <x:c r="Y91" s="3">
        <x:v>8</x:v>
      </x:c>
      <x:c r="Z91" s="3">
        <x:v>0</x:v>
      </x:c>
      <x:c r="AA91" s="3"/>
      <x:c r="AB91" s="2"/>
      <x:c r="AC91" s="3"/>
      <x:c r="AD91" s="3"/>
      <x:c r="AE91" s="2" t="s">
        <x:v>65</x:v>
      </x:c>
      <x:c r="AF91" s="3">
        <x:v>4</x:v>
      </x:c>
      <x:c r="AG91" s="3">
        <x:v>0</x:v>
      </x:c>
      <x:c r="AH91" s="2" t="s">
        <x:v>409</x:v>
      </x:c>
      <x:c r="AI91" s="3">
        <x:v>78</x:v>
      </x:c>
      <x:c r="AJ91" s="3">
        <x:v>0</x:v>
      </x:c>
      <x:c r="AK91" s="2" t="s">
        <x:v>66</x:v>
      </x:c>
      <x:c r="AL91" s="3">
        <x:v>0</x:v>
      </x:c>
      <x:c r="AM91" s="2" t="s">
        <x:v>410</x:v>
      </x:c>
      <x:c r="AN91" s="3">
        <x:v>79</x:v>
      </x:c>
      <x:c r="AO91" s="3">
        <x:v>6</x:v>
      </x:c>
      <x:c r="AP91" s="3">
        <x:v>6</x:v>
      </x:c>
      <x:c r="AQ91" s="5">
        <x:v>32.88431989709288</x:v>
      </x:c>
      <x:c r="AR91" s="5">
        <x:v>30.17501622755697</x:v>
      </x:c>
      <x:c r="AS91" s="5">
        <x:f t="shared" si="7"/>
        <x:v>100.00000000000003</x:v>
      </x:c>
      <x:c r="AT91" s="5">
        <x:v>328.84319897092882</x:v>
      </x:c>
      <x:c r="AU91" s="5">
        <x:v>364.47998504965761</x:v>
      </x:c>
      <x:c r="AV91" s="5">
        <x:v>54.410118535787191</x:v>
      </x:c>
      <x:c r="AW91" s="2" t="b">
        <x:v>0</x:v>
      </x:c>
      <x:c r="AX91" s="2"/>
      <x:c r="AY91" s="2" t="s">
        <x:v>83</x:v>
      </x:c>
      <x:c r="AZ91" s="6">
        <x:v>78</x:v>
      </x:c>
      <x:c r="BA91" s="6"/>
      <x:c r="BB91" s="7"/>
      <x:c r="BC91" s="7"/>
      <x:c r="BD91" s="8"/>
      <x:c r="BE91" s="2" t="e">
        <x:f>IF(AE91="Blocked","No",IF(AJ91&lt;=[1]Model_Parameters!$B$20,"Yes","No"))</x:f>
        <x:v>#NAME?</x:v>
      </x:c>
      <x:c r="BF91" s="2" t="str">
        <x:f t="shared" si="8"/>
        <x:v>Yes</x:v>
      </x:c>
      <x:c r="BG91" s="2" t="str">
        <x:f t="shared" si="9"/>
        <x:v>Yes</x:v>
      </x:c>
      <x:c r="BH91" s="24" t="str">
        <x:v>17:15</x:v>
      </x:c>
      <x:c r="BI91" s="24" t="str">
        <x:v>23:45</x:v>
      </x:c>
    </x:row>
    <x:row r="92">
      <x:c r="A92" s="2" t="s">
        <x:v>59</x:v>
      </x:c>
      <x:c r="B92" s="3">
        <x:v>166</x:v>
      </x:c>
      <x:c r="C92" s="2" t="s">
        <x:v>411</x:v>
      </x:c>
      <x:c r="D92" s="2" t="s">
        <x:v>412</x:v>
      </x:c>
      <x:c r="E92" s="2" t="s">
        <x:v>62</x:v>
      </x:c>
      <x:c r="F92" s="2" t="s">
        <x:v>63</x:v>
      </x:c>
      <x:c r="G92" s="3">
        <x:v>70</x:v>
      </x:c>
      <x:c r="H92" s="3">
        <x:v>0</x:v>
      </x:c>
      <x:c r="I92" s="3">
        <x:v>120</x:v>
      </x:c>
      <x:c r="J92" s="4">
        <x:v>9.3023255813953487E-2</x:v>
      </x:c>
      <x:c r="K92" s="3">
        <x:v>0</x:v>
      </x:c>
      <x:c r="L92" s="2" t="s">
        <x:v>402</x:v>
      </x:c>
      <x:c r="M92" s="3">
        <x:v>1177</x:v>
      </x:c>
      <x:c r="N92" s="3">
        <x:v>79</x:v>
      </x:c>
      <x:c r="O92" s="5">
        <x:v>115.88471143997209</x:v>
      </x:c>
      <x:c r="P92" s="5">
        <x:v>28.45928779075297</x:v>
      </x:c>
      <x:c r="Q92" s="5"/>
      <x:c r="R92" s="5">
        <x:v>89.455545343919113</x:v>
      </x:c>
      <x:c r="S92" s="5">
        <x:f t="shared" si="5"/>
        <x:v>70.685337054668764</x:v>
      </x:c>
      <x:c r="T92" s="5">
        <x:f t="shared" si="6"/>
        <x:v>70.685337054668764</x:v>
      </x:c>
      <x:c r="U92" s="5" t="e">
        <x:f>T92/[1]Model_Parameters!$B$22</x:f>
        <x:v>#NAME?</x:v>
      </x:c>
      <x:c r="V92" s="5">
        <x:v>192.819648287668</x:v>
      </x:c>
      <x:c r="W92" s="5">
        <x:v>192.819648287668</x:v>
      </x:c>
      <x:c r="X92" s="5">
        <x:v>94.47182986441814</x:v>
      </x:c>
      <x:c r="Y92" s="3">
        <x:v>6</x:v>
      </x:c>
      <x:c r="Z92" s="3">
        <x:v>0</x:v>
      </x:c>
      <x:c r="AA92" s="3"/>
      <x:c r="AB92" s="2"/>
      <x:c r="AC92" s="3"/>
      <x:c r="AD92" s="3"/>
      <x:c r="AE92" s="2" t="s">
        <x:v>65</x:v>
      </x:c>
      <x:c r="AF92" s="3">
        <x:v>10</x:v>
      </x:c>
      <x:c r="AG92" s="3">
        <x:v>0</x:v>
      </x:c>
      <x:c r="AH92" s="2" t="s">
        <x:v>402</x:v>
      </x:c>
      <x:c r="AI92" s="3">
        <x:v>79</x:v>
      </x:c>
      <x:c r="AJ92" s="3">
        <x:v>0</x:v>
      </x:c>
      <x:c r="AK92" s="2" t="s">
        <x:v>66</x:v>
      </x:c>
      <x:c r="AL92" s="3">
        <x:v>0</x:v>
      </x:c>
      <x:c r="AM92" s="2" t="s">
        <x:v>413</x:v>
      </x:c>
      <x:c r="AN92" s="3">
        <x:v>81</x:v>
      </x:c>
      <x:c r="AO92" s="3">
        <x:v>31</x:v>
      </x:c>
      <x:c r="AP92" s="3">
        <x:v>31</x:v>
      </x:c>
      <x:c r="AQ92" s="5">
        <x:v>74.821602541321838</x:v>
      </x:c>
      <x:c r="AR92" s="5">
        <x:v>70.685337054668736</x:v>
      </x:c>
      <x:c r="AS92" s="5">
        <x:f t="shared" si="7"/>
        <x:v>99.999999999999957</x:v>
      </x:c>
      <x:c r="AT92" s="5">
        <x:v>144.81600491868741</x:v>
      </x:c>
      <x:c r="AU92" s="5">
        <x:v>192.819648287668</x:v>
      </x:c>
      <x:c r="AV92" s="5">
        <x:v>89.455545343919113</x:v>
      </x:c>
      <x:c r="AW92" s="2" t="b">
        <x:v>0</x:v>
      </x:c>
      <x:c r="AX92" s="2"/>
      <x:c r="AY92" s="2" t="s">
        <x:v>68</x:v>
      </x:c>
      <x:c r="AZ92" s="6">
        <x:v>79</x:v>
      </x:c>
      <x:c r="BA92" s="6"/>
      <x:c r="BB92" s="7"/>
      <x:c r="BC92" s="7"/>
      <x:c r="BD92" s="8"/>
      <x:c r="BE92" s="2" t="e">
        <x:f>IF(AE92="Blocked","No",IF(AJ92&lt;=[1]Model_Parameters!$B$20,"Yes","No"))</x:f>
        <x:v>#NAME?</x:v>
      </x:c>
      <x:c r="BF92" s="2" t="str">
        <x:f t="shared" si="8"/>
        <x:v>Yes</x:v>
      </x:c>
      <x:c r="BG92" s="2" t="str">
        <x:f t="shared" si="9"/>
        <x:v>Yes</x:v>
      </x:c>
      <x:c r="BH92" s="24"/>
      <x:c r="BI92" s="24"/>
    </x:row>
    <x:row r="93">
      <x:c r="A93" s="2" t="s">
        <x:v>59</x:v>
      </x:c>
      <x:c r="B93" s="3">
        <x:v>167</x:v>
      </x:c>
      <x:c r="C93" s="2" t="s">
        <x:v>414</x:v>
      </x:c>
      <x:c r="D93" s="2" t="s">
        <x:v>415</x:v>
      </x:c>
      <x:c r="E93" s="2" t="s">
        <x:v>62</x:v>
      </x:c>
      <x:c r="F93" s="2" t="s">
        <x:v>63</x:v>
      </x:c>
      <x:c r="G93" s="3">
        <x:v>71</x:v>
      </x:c>
      <x:c r="H93" s="3">
        <x:v>0</x:v>
      </x:c>
      <x:c r="I93" s="3">
        <x:v>120</x:v>
      </x:c>
      <x:c r="J93" s="4">
        <x:v>9.3023255813953487E-2</x:v>
      </x:c>
      <x:c r="K93" s="3">
        <x:v>0</x:v>
      </x:c>
      <x:c r="L93" s="2" t="s">
        <x:v>416</x:v>
      </x:c>
      <x:c r="M93" s="3">
        <x:v>1179</x:v>
      </x:c>
      <x:c r="N93" s="3">
        <x:v>79</x:v>
      </x:c>
      <x:c r="O93" s="5">
        <x:v>67.10110619583638</x:v>
      </x:c>
      <x:c r="P93" s="5">
        <x:v>15.787224326114851</x:v>
      </x:c>
      <x:c r="Q93" s="5"/>
      <x:c r="R93" s="5">
        <x:v>96.611181333746586</x:v>
      </x:c>
      <x:c r="S93" s="5">
        <x:f t="shared" si="5"/>
        <x:v>54.233769223368107</x:v>
      </x:c>
      <x:c r="T93" s="5">
        <x:f t="shared" si="6"/>
        <x:v>54.233769223368107</x:v>
      </x:c>
      <x:c r="U93" s="5" t="e">
        <x:f>T93/[1]Model_Parameters!$B$22</x:f>
        <x:v>#NAME?</x:v>
      </x:c>
      <x:c r="V93" s="5">
        <x:v>340.86563817414378</x:v>
      </x:c>
      <x:c r="W93" s="5">
        <x:v>340.86563817414378</x:v>
      </x:c>
      <x:c r="X93" s="5">
        <x:v>91.726606930490945</x:v>
      </x:c>
      <x:c r="Y93" s="3">
        <x:v>6</x:v>
      </x:c>
      <x:c r="Z93" s="3">
        <x:v>0</x:v>
      </x:c>
      <x:c r="AA93" s="3"/>
      <x:c r="AB93" s="2"/>
      <x:c r="AC93" s="3"/>
      <x:c r="AD93" s="3"/>
      <x:c r="AE93" s="2" t="s">
        <x:v>65</x:v>
      </x:c>
      <x:c r="AF93" s="3">
        <x:v>1</x:v>
      </x:c>
      <x:c r="AG93" s="3">
        <x:v>0</x:v>
      </x:c>
      <x:c r="AH93" s="2" t="s">
        <x:v>416</x:v>
      </x:c>
      <x:c r="AI93" s="3">
        <x:v>79</x:v>
      </x:c>
      <x:c r="AJ93" s="3">
        <x:v>0</x:v>
      </x:c>
      <x:c r="AK93" s="2" t="s">
        <x:v>66</x:v>
      </x:c>
      <x:c r="AL93" s="3">
        <x:v>0</x:v>
      </x:c>
      <x:c r="AM93" s="2" t="s">
        <x:v>417</x:v>
      </x:c>
      <x:c r="AN93" s="3">
        <x:v>80</x:v>
      </x:c>
      <x:c r="AO93" s="3">
        <x:v>16</x:v>
      </x:c>
      <x:c r="AP93" s="3">
        <x:v>16</x:v>
      </x:c>
      <x:c r="AQ93" s="5">
        <x:v>59.125450115543529</x:v>
      </x:c>
      <x:c r="AR93" s="5">
        <x:v>54.233769223368107</x:v>
      </x:c>
      <x:c r="AS93" s="5">
        <x:f t="shared" si="7"/>
        <x:v>100</x:v>
      </x:c>
      <x:c r="AT93" s="5">
        <x:v>221.7204379332882</x:v>
      </x:c>
      <x:c r="AU93" s="5">
        <x:v>340.86563817414378</x:v>
      </x:c>
      <x:c r="AV93" s="5">
        <x:v>96.611181333746586</x:v>
      </x:c>
      <x:c r="AW93" s="2" t="b">
        <x:v>0</x:v>
      </x:c>
      <x:c r="AX93" s="2"/>
      <x:c r="AY93" s="2" t="s">
        <x:v>68</x:v>
      </x:c>
      <x:c r="AZ93" s="6">
        <x:v>79</x:v>
      </x:c>
      <x:c r="BA93" s="6"/>
      <x:c r="BB93" s="7"/>
      <x:c r="BC93" s="7"/>
      <x:c r="BD93" s="8"/>
      <x:c r="BE93" s="2" t="e">
        <x:f>IF(AE93="Blocked","No",IF(AJ93&lt;=[1]Model_Parameters!$B$20,"Yes","No"))</x:f>
        <x:v>#NAME?</x:v>
      </x:c>
      <x:c r="BF93" s="2" t="str">
        <x:f t="shared" si="8"/>
        <x:v>Yes</x:v>
      </x:c>
      <x:c r="BG93" s="2" t="str">
        <x:f t="shared" si="9"/>
        <x:v>Yes</x:v>
      </x:c>
      <x:c r="BH93" s="24"/>
      <x:c r="BI93" s="24"/>
    </x:row>
    <x:row r="94">
      <x:c r="A94" s="2" t="s">
        <x:v>59</x:v>
      </x:c>
      <x:c r="B94" s="3">
        <x:v>169</x:v>
      </x:c>
      <x:c r="C94" s="2" t="s">
        <x:v>418</x:v>
      </x:c>
      <x:c r="D94" s="2" t="s">
        <x:v>419</x:v>
      </x:c>
      <x:c r="E94" s="2" t="s">
        <x:v>79</x:v>
      </x:c>
      <x:c r="F94" s="2" t="s">
        <x:v>80</x:v>
      </x:c>
      <x:c r="G94" s="3">
        <x:v>22</x:v>
      </x:c>
      <x:c r="H94" s="3">
        <x:v>1</x:v>
      </x:c>
      <x:c r="I94" s="3">
        <x:v>30</x:v>
      </x:c>
      <x:c r="J94" s="4">
        <x:v>8.5470085470085458E-2</x:v>
      </x:c>
      <x:c r="K94" s="3">
        <x:v>0</x:v>
      </x:c>
      <x:c r="L94" s="2" t="s">
        <x:v>416</x:v>
      </x:c>
      <x:c r="M94" s="3">
        <x:v>1179</x:v>
      </x:c>
      <x:c r="N94" s="3">
        <x:v>79</x:v>
      </x:c>
      <x:c r="O94" s="5">
        <x:v>61.540060560312689</x:v>
      </x:c>
      <x:c r="P94" s="5">
        <x:v>22.704409389021311</x:v>
      </x:c>
      <x:c r="Q94" s="5"/>
      <x:c r="R94" s="5">
        <x:v>85.963420011679574</x:v>
      </x:c>
      <x:c r="S94" s="5">
        <x:f t="shared" si="5"/>
        <x:v>38.929633447038533</x:v>
      </x:c>
      <x:c r="T94" s="5">
        <x:f t="shared" si="6"/>
        <x:v>38.929633447038533</x:v>
      </x:c>
      <x:c r="U94" s="5" t="e">
        <x:f>T94/[1]Model_Parameters!$B$22</x:f>
        <x:v>#NAME?</x:v>
      </x:c>
      <x:c r="V94" s="5">
        <x:v>157.03071841220151</x:v>
      </x:c>
      <x:c r="W94" s="5">
        <x:v>157.03071841220151</x:v>
      </x:c>
      <x:c r="X94" s="5">
        <x:v>93.79333906330821</x:v>
      </x:c>
      <x:c r="Y94" s="3">
        <x:v>8</x:v>
      </x:c>
      <x:c r="Z94" s="3">
        <x:v>0</x:v>
      </x:c>
      <x:c r="AA94" s="3"/>
      <x:c r="AB94" s="2"/>
      <x:c r="AC94" s="3"/>
      <x:c r="AD94" s="3"/>
      <x:c r="AE94" s="2" t="s">
        <x:v>65</x:v>
      </x:c>
      <x:c r="AF94" s="3">
        <x:v>5</x:v>
      </x:c>
      <x:c r="AG94" s="3">
        <x:v>0</x:v>
      </x:c>
      <x:c r="AH94" s="2" t="s">
        <x:v>416</x:v>
      </x:c>
      <x:c r="AI94" s="3">
        <x:v>79</x:v>
      </x:c>
      <x:c r="AJ94" s="3">
        <x:v>0</x:v>
      </x:c>
      <x:c r="AK94" s="2" t="s">
        <x:v>66</x:v>
      </x:c>
      <x:c r="AL94" s="3">
        <x:v>0</x:v>
      </x:c>
      <x:c r="AM94" s="2" t="s">
        <x:v>420</x:v>
      </x:c>
      <x:c r="AN94" s="3">
        <x:v>80</x:v>
      </x:c>
      <x:c r="AO94" s="3">
        <x:v>19</x:v>
      </x:c>
      <x:c r="AP94" s="3">
        <x:v>19</x:v>
      </x:c>
      <x:c r="AQ94" s="5">
        <x:v>41.505754924410951</x:v>
      </x:c>
      <x:c r="AR94" s="5">
        <x:v>38.929633447038533</x:v>
      </x:c>
      <x:c r="AS94" s="5">
        <x:f t="shared" si="7"/>
        <x:v>100</x:v>
      </x:c>
      <x:c r="AT94" s="5">
        <x:v>131.07080502445561</x:v>
      </x:c>
      <x:c r="AU94" s="5">
        <x:v>157.03071841220151</x:v>
      </x:c>
      <x:c r="AV94" s="5">
        <x:v>85.963420011679574</x:v>
      </x:c>
      <x:c r="AW94" s="2" t="b">
        <x:v>0</x:v>
      </x:c>
      <x:c r="AX94" s="2"/>
      <x:c r="AY94" s="2" t="s">
        <x:v>83</x:v>
      </x:c>
      <x:c r="AZ94" s="6">
        <x:v>79</x:v>
      </x:c>
      <x:c r="BA94" s="6"/>
      <x:c r="BB94" s="7"/>
      <x:c r="BC94" s="7"/>
      <x:c r="BD94" s="8"/>
      <x:c r="BE94" s="2" t="e">
        <x:f>IF(AE94="Blocked","No",IF(AJ94&lt;=[1]Model_Parameters!$B$20,"Yes","No"))</x:f>
        <x:v>#NAME?</x:v>
      </x:c>
      <x:c r="BF94" s="2" t="str">
        <x:f t="shared" si="8"/>
        <x:v>Yes</x:v>
      </x:c>
      <x:c r="BG94" s="2" t="str">
        <x:f t="shared" si="9"/>
        <x:v>Yes</x:v>
      </x:c>
      <x:c r="BH94" s="24" t="str">
        <x:v>17:30</x:v>
      </x:c>
      <x:c r="BI94" s="24" t="str">
        <x:v>24:00</x:v>
      </x:c>
    </x:row>
    <x:row r="95">
      <x:c r="A95" s="2" t="s">
        <x:v>59</x:v>
      </x:c>
      <x:c r="B95" s="3">
        <x:v>170</x:v>
      </x:c>
      <x:c r="C95" s="2" t="s">
        <x:v>421</x:v>
      </x:c>
      <x:c r="D95" s="2" t="s">
        <x:v>422</x:v>
      </x:c>
      <x:c r="E95" s="2" t="s">
        <x:v>79</x:v>
      </x:c>
      <x:c r="F95" s="2" t="s">
        <x:v>80</x:v>
      </x:c>
      <x:c r="G95" s="3">
        <x:v>23</x:v>
      </x:c>
      <x:c r="H95" s="3">
        <x:v>1</x:v>
      </x:c>
      <x:c r="I95" s="3">
        <x:v>30</x:v>
      </x:c>
      <x:c r="J95" s="4">
        <x:v>8.5470085470085458E-2</x:v>
      </x:c>
      <x:c r="K95" s="3">
        <x:v>0</x:v>
      </x:c>
      <x:c r="L95" s="2" t="s">
        <x:v>423</x:v>
      </x:c>
      <x:c r="M95" s="3">
        <x:v>1180</x:v>
      </x:c>
      <x:c r="N95" s="3">
        <x:v>79</x:v>
      </x:c>
      <x:c r="O95" s="5">
        <x:v>78.642870671589733</x:v>
      </x:c>
      <x:c r="P95" s="5">
        <x:v>35.693288559982193</x:v>
      </x:c>
      <x:c r="Q95" s="5"/>
      <x:c r="R95" s="5">
        <x:v>89.210710856949134</x:v>
      </x:c>
      <x:c r="S95" s="5">
        <x:f t="shared" si="5"/>
        <x:v>42.087637203772239</x:v>
      </x:c>
      <x:c r="T95" s="5">
        <x:f t="shared" si="6"/>
        <x:v>42.087637203772239</x:v>
      </x:c>
      <x:c r="U95" s="5" t="e">
        <x:f>T95/[1]Model_Parameters!$B$22</x:f>
        <x:v>#NAME?</x:v>
      </x:c>
      <x:c r="V95" s="5">
        <x:v>268.42894401505851</x:v>
      </x:c>
      <x:c r="W95" s="5">
        <x:v>268.42894401505851</x:v>
      </x:c>
      <x:c r="X95" s="5">
        <x:v>92.422977716963047</x:v>
      </x:c>
      <x:c r="Y95" s="3">
        <x:v>9</x:v>
      </x:c>
      <x:c r="Z95" s="3">
        <x:v>0</x:v>
      </x:c>
      <x:c r="AA95" s="3"/>
      <x:c r="AB95" s="2"/>
      <x:c r="AC95" s="3"/>
      <x:c r="AD95" s="3"/>
      <x:c r="AE95" s="2" t="s">
        <x:v>65</x:v>
      </x:c>
      <x:c r="AF95" s="3">
        <x:v>9</x:v>
      </x:c>
      <x:c r="AG95" s="3">
        <x:v>0</x:v>
      </x:c>
      <x:c r="AH95" s="2" t="s">
        <x:v>423</x:v>
      </x:c>
      <x:c r="AI95" s="3">
        <x:v>79</x:v>
      </x:c>
      <x:c r="AJ95" s="3">
        <x:v>0</x:v>
      </x:c>
      <x:c r="AK95" s="2" t="s">
        <x:v>66</x:v>
      </x:c>
      <x:c r="AL95" s="3">
        <x:v>0</x:v>
      </x:c>
      <x:c r="AM95" s="2" t="s">
        <x:v>424</x:v>
      </x:c>
      <x:c r="AN95" s="3">
        <x:v>80</x:v>
      </x:c>
      <x:c r="AO95" s="3">
        <x:v>14</x:v>
      </x:c>
      <x:c r="AP95" s="3">
        <x:v>14</x:v>
      </x:c>
      <x:c r="AQ95" s="5">
        <x:v>45.538066662017563</x:v>
      </x:c>
      <x:c r="AR95" s="5">
        <x:v>42.087637203772267</x:v>
      </x:c>
      <x:c r="AS95" s="5">
        <x:f t="shared" si="7"/>
        <x:v>100.00000000000007</x:v>
      </x:c>
      <x:c r="AT95" s="5">
        <x:v>195.16314283721809</x:v>
      </x:c>
      <x:c r="AU95" s="5">
        <x:v>268.42894401505851</x:v>
      </x:c>
      <x:c r="AV95" s="5">
        <x:v>89.210710856949134</x:v>
      </x:c>
      <x:c r="AW95" s="2" t="b">
        <x:v>0</x:v>
      </x:c>
      <x:c r="AX95" s="2"/>
      <x:c r="AY95" s="2" t="s">
        <x:v>83</x:v>
      </x:c>
      <x:c r="AZ95" s="6">
        <x:v>79</x:v>
      </x:c>
      <x:c r="BA95" s="6"/>
      <x:c r="BB95" s="7"/>
      <x:c r="BC95" s="7"/>
      <x:c r="BD95" s="8"/>
      <x:c r="BE95" s="2" t="e">
        <x:f>IF(AE95="Blocked","No",IF(AJ95&lt;=[1]Model_Parameters!$B$20,"Yes","No"))</x:f>
        <x:v>#NAME?</x:v>
      </x:c>
      <x:c r="BF95" s="2" t="str">
        <x:f t="shared" si="8"/>
        <x:v>Yes</x:v>
      </x:c>
      <x:c r="BG95" s="2" t="str">
        <x:f t="shared" si="9"/>
        <x:v>Yes</x:v>
      </x:c>
      <x:c r="BH95" s="24" t="str">
        <x:v>17:30</x:v>
      </x:c>
      <x:c r="BI95" s="24" t="str">
        <x:v>24:00</x:v>
      </x:c>
    </x:row>
    <x:row r="96">
      <x:c r="A96" s="2" t="s">
        <x:v>59</x:v>
      </x:c>
      <x:c r="B96" s="3">
        <x:v>171</x:v>
      </x:c>
      <x:c r="C96" s="2" t="s">
        <x:v>425</x:v>
      </x:c>
      <x:c r="D96" s="2" t="s">
        <x:v>426</x:v>
      </x:c>
      <x:c r="E96" s="2" t="s">
        <x:v>62</x:v>
      </x:c>
      <x:c r="F96" s="2" t="s">
        <x:v>63</x:v>
      </x:c>
      <x:c r="G96" s="3">
        <x:v>72</x:v>
      </x:c>
      <x:c r="H96" s="3">
        <x:v>0</x:v>
      </x:c>
      <x:c r="I96" s="3">
        <x:v>120</x:v>
      </x:c>
      <x:c r="J96" s="4">
        <x:v>9.3023255813953487E-2</x:v>
      </x:c>
      <x:c r="K96" s="3">
        <x:v>0</x:v>
      </x:c>
      <x:c r="L96" s="2" t="s">
        <x:v>377</x:v>
      </x:c>
      <x:c r="M96" s="3">
        <x:v>1181</x:v>
      </x:c>
      <x:c r="N96" s="3">
        <x:v>79</x:v>
      </x:c>
      <x:c r="O96" s="5">
        <x:v>71.598394056187516</x:v>
      </x:c>
      <x:c r="P96" s="5">
        <x:v>17.112996532303811</x:v>
      </x:c>
      <x:c r="Q96" s="5"/>
      <x:c r="R96" s="5">
        <x:v>92.171725492243368</x:v>
      </x:c>
      <x:c r="S96" s="5">
        <x:f t="shared" si="5"/>
        <x:v>53.740844534303257</x:v>
      </x:c>
      <x:c r="T96" s="5">
        <x:f t="shared" si="6"/>
        <x:v>53.740844534303257</x:v>
      </x:c>
      <x:c r="U96" s="5" t="e">
        <x:f>T96/[1]Model_Parameters!$B$22</x:f>
        <x:v>#NAME?</x:v>
      </x:c>
      <x:c r="V96" s="5">
        <x:v>177.80777332527791</x:v>
      </x:c>
      <x:c r="W96" s="5">
        <x:v>177.80777332527791</x:v>
      </x:c>
      <x:c r="X96" s="5">
        <x:v>92.726038988875715</x:v>
      </x:c>
      <x:c r="Y96" s="3">
        <x:v>9</x:v>
      </x:c>
      <x:c r="Z96" s="3">
        <x:v>0</x:v>
      </x:c>
      <x:c r="AA96" s="3"/>
      <x:c r="AB96" s="2"/>
      <x:c r="AC96" s="3"/>
      <x:c r="AD96" s="3"/>
      <x:c r="AE96" s="2" t="s">
        <x:v>65</x:v>
      </x:c>
      <x:c r="AF96" s="3">
        <x:v>2</x:v>
      </x:c>
      <x:c r="AG96" s="3">
        <x:v>0</x:v>
      </x:c>
      <x:c r="AH96" s="2" t="s">
        <x:v>377</x:v>
      </x:c>
      <x:c r="AI96" s="3">
        <x:v>79</x:v>
      </x:c>
      <x:c r="AJ96" s="3">
        <x:v>0</x:v>
      </x:c>
      <x:c r="AK96" s="2" t="s">
        <x:v>66</x:v>
      </x:c>
      <x:c r="AL96" s="3">
        <x:v>0</x:v>
      </x:c>
      <x:c r="AM96" s="2" t="s">
        <x:v>427</x:v>
      </x:c>
      <x:c r="AN96" s="3">
        <x:v>81</x:v>
      </x:c>
      <x:c r="AO96" s="3">
        <x:v>26</x:v>
      </x:c>
      <x:c r="AP96" s="3">
        <x:v>26</x:v>
      </x:c>
      <x:c r="AQ96" s="5">
        <x:v>57.956583846691167</x:v>
      </x:c>
      <x:c r="AR96" s="5">
        <x:v>53.740844534303299</x:v>
      </x:c>
      <x:c r="AS96" s="5">
        <x:f t="shared" si="7"/>
        <x:v>100.00000000000009</x:v>
      </x:c>
      <x:c r="AT96" s="5">
        <x:v>133.74596272313349</x:v>
      </x:c>
      <x:c r="AU96" s="5">
        <x:v>177.80777332527791</x:v>
      </x:c>
      <x:c r="AV96" s="5">
        <x:v>92.171725492243368</x:v>
      </x:c>
      <x:c r="AW96" s="2" t="b">
        <x:v>0</x:v>
      </x:c>
      <x:c r="AX96" s="2"/>
      <x:c r="AY96" s="2" t="s">
        <x:v>68</x:v>
      </x:c>
      <x:c r="AZ96" s="6">
        <x:v>79</x:v>
      </x:c>
      <x:c r="BA96" s="6"/>
      <x:c r="BB96" s="7"/>
      <x:c r="BC96" s="7"/>
      <x:c r="BD96" s="8"/>
      <x:c r="BE96" s="2" t="e">
        <x:f>IF(AE96="Blocked","No",IF(AJ96&lt;=[1]Model_Parameters!$B$20,"Yes","No"))</x:f>
        <x:v>#NAME?</x:v>
      </x:c>
      <x:c r="BF96" s="2" t="str">
        <x:f t="shared" si="8"/>
        <x:v>Yes</x:v>
      </x:c>
      <x:c r="BG96" s="2" t="str">
        <x:f t="shared" si="9"/>
        <x:v>Yes</x:v>
      </x:c>
      <x:c r="BH96" s="24"/>
      <x:c r="BI96" s="24"/>
    </x:row>
    <x:row r="97">
      <x:c r="A97" s="2" t="s">
        <x:v>59</x:v>
      </x:c>
      <x:c r="B97" s="3">
        <x:v>172</x:v>
      </x:c>
      <x:c r="C97" s="2" t="s">
        <x:v>428</x:v>
      </x:c>
      <x:c r="D97" s="2" t="s">
        <x:v>429</x:v>
      </x:c>
      <x:c r="E97" s="2" t="s">
        <x:v>62</x:v>
      </x:c>
      <x:c r="F97" s="2" t="s">
        <x:v>63</x:v>
      </x:c>
      <x:c r="G97" s="3">
        <x:v>73</x:v>
      </x:c>
      <x:c r="H97" s="3">
        <x:v>0</x:v>
      </x:c>
      <x:c r="I97" s="3">
        <x:v>120</x:v>
      </x:c>
      <x:c r="J97" s="4">
        <x:v>9.3023255813953487E-2</x:v>
      </x:c>
      <x:c r="K97" s="3">
        <x:v>0</x:v>
      </x:c>
      <x:c r="L97" s="2" t="s">
        <x:v>430</x:v>
      </x:c>
      <x:c r="M97" s="3">
        <x:v>1182</x:v>
      </x:c>
      <x:c r="N97" s="3">
        <x:v>79</x:v>
      </x:c>
      <x:c r="O97" s="5">
        <x:v>95.316833238964307</x:v>
      </x:c>
      <x:c r="P97" s="5">
        <x:v>8.1452923838834668</x:v>
      </x:c>
      <x:c r="Q97" s="5"/>
      <x:c r="R97" s="5">
        <x:v>72.824767048235728</x:v>
      </x:c>
      <x:c r="S97" s="5">
        <x:f t="shared" si="5"/>
        <x:v>61.650427005658813</x:v>
      </x:c>
      <x:c r="T97" s="5">
        <x:f t="shared" si="6"/>
        <x:v>61.650427005658813</x:v>
      </x:c>
      <x:c r="U97" s="5" t="e">
        <x:f>T97/[1]Model_Parameters!$B$22</x:f>
        <x:v>#NAME?</x:v>
      </x:c>
      <x:c r="V97" s="5">
        <x:v>297.25718512457343</x:v>
      </x:c>
      <x:c r="W97" s="5">
        <x:v>297.25718512457343</x:v>
      </x:c>
      <x:c r="X97" s="5">
        <x:v>93.91122781466909</x:v>
      </x:c>
      <x:c r="Y97" s="3">
        <x:v>10</x:v>
      </x:c>
      <x:c r="Z97" s="3">
        <x:v>0</x:v>
      </x:c>
      <x:c r="AA97" s="3">
        <x:v>1</x:v>
      </x:c>
      <x:c r="AB97" s="2"/>
      <x:c r="AC97" s="3"/>
      <x:c r="AD97" s="3"/>
      <x:c r="AE97" s="2" t="s">
        <x:v>120</x:v>
      </x:c>
      <x:c r="AF97" s="3">
        <x:v>7</x:v>
      </x:c>
      <x:c r="AG97" s="3">
        <x:v>0</x:v>
      </x:c>
      <x:c r="AH97" s="2" t="s">
        <x:v>431</x:v>
      </x:c>
      <x:c r="AI97" s="3">
        <x:v>80</x:v>
      </x:c>
      <x:c r="AJ97" s="3">
        <x:v>4</x:v>
      </x:c>
      <x:c r="AK97" s="2" t="s">
        <x:v>66</x:v>
      </x:c>
      <x:c r="AL97" s="3">
        <x:v>0</x:v>
      </x:c>
      <x:c r="AM97" s="2" t="s">
        <x:v>432</x:v>
      </x:c>
      <x:c r="AN97" s="3">
        <x:v>81</x:v>
      </x:c>
      <x:c r="AO97" s="3">
        <x:v>14</x:v>
      </x:c>
      <x:c r="AP97" s="3">
        <x:v>18</x:v>
      </x:c>
      <x:c r="AQ97" s="5">
        <x:v>65.647557209372266</x:v>
      </x:c>
      <x:c r="AR97" s="5">
        <x:v>61.650427005658798</x:v>
      </x:c>
      <x:c r="AS97" s="5">
        <x:f t="shared" si="7"/>
        <x:v>99.999999999999972</x:v>
      </x:c>
      <x:c r="AT97" s="5">
        <x:v>281.34667375445258</x:v>
      </x:c>
      <x:c r="AU97" s="5">
        <x:v>297.25718512457343</x:v>
      </x:c>
      <x:c r="AV97" s="5">
        <x:v>72.824767048235728</x:v>
      </x:c>
      <x:c r="AW97" s="2" t="b">
        <x:v>0</x:v>
      </x:c>
      <x:c r="AX97" s="2"/>
      <x:c r="AY97" s="2" t="s">
        <x:v>68</x:v>
      </x:c>
      <x:c r="AZ97" s="6">
        <x:v>79</x:v>
      </x:c>
      <x:c r="BA97" s="6"/>
      <x:c r="BB97" s="7"/>
      <x:c r="BC97" s="7"/>
      <x:c r="BD97" s="8"/>
      <x:c r="BE97" s="2" t="e">
        <x:f>IF(AE97="Blocked","No",IF(AJ97&lt;=[1]Model_Parameters!$B$20,"Yes","No"))</x:f>
        <x:v>#NAME?</x:v>
      </x:c>
      <x:c r="BF97" s="2" t="str">
        <x:f t="shared" si="8"/>
        <x:v>Yes</x:v>
      </x:c>
      <x:c r="BG97" s="2" t="str">
        <x:f t="shared" si="9"/>
        <x:v>Yes</x:v>
      </x:c>
      <x:c r="BH97" s="24"/>
      <x:c r="BI97" s="24"/>
    </x:row>
    <x:row r="98">
      <x:c r="A98" s="2" t="s">
        <x:v>59</x:v>
      </x:c>
      <x:c r="B98" s="3">
        <x:v>173</x:v>
      </x:c>
      <x:c r="C98" s="2" t="s">
        <x:v>433</x:v>
      </x:c>
      <x:c r="D98" s="2" t="s">
        <x:v>434</x:v>
      </x:c>
      <x:c r="E98" s="2" t="s">
        <x:v>62</x:v>
      </x:c>
      <x:c r="F98" s="2" t="s">
        <x:v>63</x:v>
      </x:c>
      <x:c r="G98" s="3">
        <x:v>74</x:v>
      </x:c>
      <x:c r="H98" s="3">
        <x:v>0</x:v>
      </x:c>
      <x:c r="I98" s="3">
        <x:v>120</x:v>
      </x:c>
      <x:c r="J98" s="4">
        <x:v>9.3023255813953487E-2</x:v>
      </x:c>
      <x:c r="K98" s="3">
        <x:v>0</x:v>
      </x:c>
      <x:c r="L98" s="2" t="s">
        <x:v>435</x:v>
      </x:c>
      <x:c r="M98" s="3">
        <x:v>1185</x:v>
      </x:c>
      <x:c r="N98" s="3">
        <x:v>80</x:v>
      </x:c>
      <x:c r="O98" s="5">
        <x:v>72.73860134226247</x:v>
      </x:c>
      <x:c r="P98" s="5">
        <x:v>26.927317362748031</x:v>
      </x:c>
      <x:c r="Q98" s="5"/>
      <x:c r="R98" s="5">
        <x:v>87.954773059658905</x:v>
      </x:c>
      <x:c r="S98" s="5">
        <x:f t="shared" si="5"/>
        <x:v>44.390517708701843</x:v>
      </x:c>
      <x:c r="T98" s="5">
        <x:f t="shared" si="6"/>
        <x:v>44.390517708701843</x:v>
      </x:c>
      <x:c r="U98" s="5" t="e">
        <x:f>T98/[1]Model_Parameters!$B$22</x:f>
        <x:v>#NAME?</x:v>
      </x:c>
      <x:c r="V98" s="5">
        <x:v>165.45919538650469</x:v>
      </x:c>
      <x:c r="W98" s="5">
        <x:v>165.45919538650469</x:v>
      </x:c>
      <x:c r="X98" s="5">
        <x:v>93.145715142209752</x:v>
      </x:c>
      <x:c r="Y98" s="3">
        <x:v>10</x:v>
      </x:c>
      <x:c r="Z98" s="3">
        <x:v>1</x:v>
      </x:c>
      <x:c r="AA98" s="3">
        <x:v>2</x:v>
      </x:c>
      <x:c r="AB98" s="2"/>
      <x:c r="AC98" s="3"/>
      <x:c r="AD98" s="3"/>
      <x:c r="AE98" s="2" t="s">
        <x:v>120</x:v>
      </x:c>
      <x:c r="AF98" s="3">
        <x:v>8</x:v>
      </x:c>
      <x:c r="AG98" s="3">
        <x:v>0</x:v>
      </x:c>
      <x:c r="AH98" s="2" t="s">
        <x:v>398</x:v>
      </x:c>
      <x:c r="AI98" s="3">
        <x:v>80</x:v>
      </x:c>
      <x:c r="AJ98" s="3">
        <x:v>5</x:v>
      </x:c>
      <x:c r="AK98" s="2" t="s">
        <x:v>66</x:v>
      </x:c>
      <x:c r="AL98" s="3">
        <x:v>0</x:v>
      </x:c>
      <x:c r="AM98" s="2" t="s">
        <x:v>436</x:v>
      </x:c>
      <x:c r="AN98" s="3">
        <x:v>81</x:v>
      </x:c>
      <x:c r="AO98" s="3">
        <x:v>22</x:v>
      </x:c>
      <x:c r="AP98" s="3">
        <x:v>27</x:v>
      </x:c>
      <x:c r="AQ98" s="5">
        <x:v>47.657068970836548</x:v>
      </x:c>
      <x:c r="AR98" s="5">
        <x:v>44.390517708701843</x:v>
      </x:c>
      <x:c r="AS98" s="5">
        <x:f t="shared" si="7"/>
        <x:v>100</x:v>
      </x:c>
      <x:c r="AT98" s="5">
        <x:v>129.97382446591789</x:v>
      </x:c>
      <x:c r="AU98" s="5">
        <x:v>165.45919538650469</x:v>
      </x:c>
      <x:c r="AV98" s="5">
        <x:v>87.954773059658905</x:v>
      </x:c>
      <x:c r="AW98" s="2" t="b">
        <x:v>0</x:v>
      </x:c>
      <x:c r="AX98" s="2"/>
      <x:c r="AY98" s="2" t="s">
        <x:v>68</x:v>
      </x:c>
      <x:c r="AZ98" s="6">
        <x:v>80</x:v>
      </x:c>
      <x:c r="BA98" s="6"/>
      <x:c r="BB98" s="7"/>
      <x:c r="BC98" s="7"/>
      <x:c r="BD98" s="8"/>
      <x:c r="BE98" s="2" t="e">
        <x:f>IF(AE98="Blocked","No",IF(AJ98&lt;=[1]Model_Parameters!$B$20,"Yes","No"))</x:f>
        <x:v>#NAME?</x:v>
      </x:c>
      <x:c r="BF98" s="2" t="str">
        <x:f t="shared" si="8"/>
        <x:v>Yes</x:v>
      </x:c>
      <x:c r="BG98" s="2" t="str">
        <x:f t="shared" si="9"/>
        <x:v>Yes</x:v>
      </x:c>
      <x:c r="BH98" s="24"/>
      <x:c r="BI98" s="24"/>
    </x:row>
    <x:row r="99">
      <x:c r="A99" s="2" t="s">
        <x:v>59</x:v>
      </x:c>
      <x:c r="B99" s="3">
        <x:v>174</x:v>
      </x:c>
      <x:c r="C99" s="2" t="s">
        <x:v>437</x:v>
      </x:c>
      <x:c r="D99" s="2" t="s">
        <x:v>438</x:v>
      </x:c>
      <x:c r="E99" s="2" t="s">
        <x:v>62</x:v>
      </x:c>
      <x:c r="F99" s="2" t="s">
        <x:v>63</x:v>
      </x:c>
      <x:c r="G99" s="3">
        <x:v>75</x:v>
      </x:c>
      <x:c r="H99" s="3">
        <x:v>0</x:v>
      </x:c>
      <x:c r="I99" s="3">
        <x:v>120</x:v>
      </x:c>
      <x:c r="J99" s="4">
        <x:v>9.3023255813953487E-2</x:v>
      </x:c>
      <x:c r="K99" s="3">
        <x:v>0</x:v>
      </x:c>
      <x:c r="L99" s="2" t="s">
        <x:v>431</x:v>
      </x:c>
      <x:c r="M99" s="3">
        <x:v>1186</x:v>
      </x:c>
      <x:c r="N99" s="3">
        <x:v>80</x:v>
      </x:c>
      <x:c r="O99" s="5">
        <x:v>68.228394873460317</x:v>
      </x:c>
      <x:c r="P99" s="5">
        <x:v>4.1850126920610542</x:v>
      </x:c>
      <x:c r="Q99" s="5"/>
      <x:c r="R99" s="5">
        <x:v>82.116297170175429</x:v>
      </x:c>
      <x:c r="S99" s="5">
        <x:f t="shared" si="5"/>
        <x:v>53.17126450368756</x:v>
      </x:c>
      <x:c r="T99" s="5">
        <x:f t="shared" si="6"/>
        <x:v>53.17126450368756</x:v>
      </x:c>
      <x:c r="U99" s="5" t="e">
        <x:f>T99/[1]Model_Parameters!$B$22</x:f>
        <x:v>#NAME?</x:v>
      </x:c>
      <x:c r="V99" s="5">
        <x:v>181.92467789817101</x:v>
      </x:c>
      <x:c r="W99" s="5">
        <x:v>181.92467789817101</x:v>
      </x:c>
      <x:c r="X99" s="5">
        <x:v>94.770654032644543</x:v>
      </x:c>
      <x:c r="Y99" s="3">
        <x:v>10</x:v>
      </x:c>
      <x:c r="Z99" s="3">
        <x:v>1</x:v>
      </x:c>
      <x:c r="AA99" s="3">
        <x:v>2</x:v>
      </x:c>
      <x:c r="AB99" s="2"/>
      <x:c r="AC99" s="3"/>
      <x:c r="AD99" s="3"/>
      <x:c r="AE99" s="2" t="s">
        <x:v>120</x:v>
      </x:c>
      <x:c r="AF99" s="3">
        <x:v>6</x:v>
      </x:c>
      <x:c r="AG99" s="3">
        <x:v>0</x:v>
      </x:c>
      <x:c r="AH99" s="2" t="s">
        <x:v>398</x:v>
      </x:c>
      <x:c r="AI99" s="3">
        <x:v>80</x:v>
      </x:c>
      <x:c r="AJ99" s="3">
        <x:v>4</x:v>
      </x:c>
      <x:c r="AK99" s="2" t="s">
        <x:v>66</x:v>
      </x:c>
      <x:c r="AL99" s="3">
        <x:v>0</x:v>
      </x:c>
      <x:c r="AM99" s="2" t="s">
        <x:v>439</x:v>
      </x:c>
      <x:c r="AN99" s="3">
        <x:v>81</x:v>
      </x:c>
      <x:c r="AO99" s="3">
        <x:v>20</x:v>
      </x:c>
      <x:c r="AP99" s="3">
        <x:v>24</x:v>
      </x:c>
      <x:c r="AQ99" s="5">
        <x:v>56.105199490732929</x:v>
      </x:c>
      <x:c r="AR99" s="5">
        <x:v>53.171264503687553</x:v>
      </x:c>
      <x:c r="AS99" s="5">
        <x:f t="shared" si="7"/>
        <x:v>99.999999999999986</x:v>
      </x:c>
      <x:c r="AT99" s="5">
        <x:v>168.31559847219879</x:v>
      </x:c>
      <x:c r="AU99" s="5">
        <x:v>181.92467789817101</x:v>
      </x:c>
      <x:c r="AV99" s="5">
        <x:v>82.116297170175429</x:v>
      </x:c>
      <x:c r="AW99" s="2" t="b">
        <x:v>0</x:v>
      </x:c>
      <x:c r="AX99" s="2"/>
      <x:c r="AY99" s="2" t="s">
        <x:v>68</x:v>
      </x:c>
      <x:c r="AZ99" s="6">
        <x:v>80</x:v>
      </x:c>
      <x:c r="BA99" s="6"/>
      <x:c r="BB99" s="7"/>
      <x:c r="BC99" s="7"/>
      <x:c r="BD99" s="8"/>
      <x:c r="BE99" s="2" t="e">
        <x:f>IF(AE99="Blocked","No",IF(AJ99&lt;=[1]Model_Parameters!$B$20,"Yes","No"))</x:f>
        <x:v>#NAME?</x:v>
      </x:c>
      <x:c r="BF99" s="2" t="str">
        <x:f t="shared" si="8"/>
        <x:v>Yes</x:v>
      </x:c>
      <x:c r="BG99" s="2" t="str">
        <x:f t="shared" si="9"/>
        <x:v>Yes</x:v>
      </x:c>
      <x:c r="BH99" s="24"/>
      <x:c r="BI99" s="24"/>
    </x:row>
    <x:row r="100">
      <x:c r="A100" s="2" t="s">
        <x:v>59</x:v>
      </x:c>
      <x:c r="B100" s="3">
        <x:v>176</x:v>
      </x:c>
      <x:c r="C100" s="2" t="s">
        <x:v>440</x:v>
      </x:c>
      <x:c r="D100" s="2" t="s">
        <x:v>441</x:v>
      </x:c>
      <x:c r="E100" s="2" t="s">
        <x:v>62</x:v>
      </x:c>
      <x:c r="F100" s="2" t="s">
        <x:v>63</x:v>
      </x:c>
      <x:c r="G100" s="3">
        <x:v>76</x:v>
      </x:c>
      <x:c r="H100" s="3">
        <x:v>0</x:v>
      </x:c>
      <x:c r="I100" s="3">
        <x:v>120</x:v>
      </x:c>
      <x:c r="J100" s="4">
        <x:v>9.3023255813953487E-2</x:v>
      </x:c>
      <x:c r="K100" s="3">
        <x:v>0</x:v>
      </x:c>
      <x:c r="L100" s="2" t="s">
        <x:v>442</x:v>
      </x:c>
      <x:c r="M100" s="3">
        <x:v>1191</x:v>
      </x:c>
      <x:c r="N100" s="3">
        <x:v>80</x:v>
      </x:c>
      <x:c r="O100" s="5">
        <x:v>51.46821452225997</x:v>
      </x:c>
      <x:c r="P100" s="5">
        <x:v>17.641992985013371</x:v>
      </x:c>
      <x:c r="Q100" s="5"/>
      <x:c r="R100" s="5">
        <x:v>80.605301462360927</x:v>
      </x:c>
      <x:c r="S100" s="5">
        <x:f t="shared" si="5"/>
        <x:v>32.406090677433532</x:v>
      </x:c>
      <x:c r="T100" s="5">
        <x:f t="shared" si="6"/>
        <x:v>32.406090677433532</x:v>
      </x:c>
      <x:c r="U100" s="5" t="e">
        <x:f>T100/[1]Model_Parameters!$B$22</x:f>
        <x:v>#NAME?</x:v>
      </x:c>
      <x:c r="V100" s="5">
        <x:v>346.10985605906262</x:v>
      </x:c>
      <x:c r="W100" s="5">
        <x:v>346.10985605906262</x:v>
      </x:c>
      <x:c r="X100" s="5">
        <x:v>90.476881385305788</x:v>
      </x:c>
      <x:c r="Y100" s="3">
        <x:v>10</x:v>
      </x:c>
      <x:c r="Z100" s="3">
        <x:v>1</x:v>
      </x:c>
      <x:c r="AA100" s="3">
        <x:v>1</x:v>
      </x:c>
      <x:c r="AB100" s="2"/>
      <x:c r="AC100" s="3"/>
      <x:c r="AD100" s="3"/>
      <x:c r="AE100" s="2" t="s">
        <x:v>120</x:v>
      </x:c>
      <x:c r="AF100" s="3">
        <x:v>9</x:v>
      </x:c>
      <x:c r="AG100" s="3">
        <x:v>0</x:v>
      </x:c>
      <x:c r="AH100" s="2" t="s">
        <x:v>424</x:v>
      </x:c>
      <x:c r="AI100" s="3">
        <x:v>80</x:v>
      </x:c>
      <x:c r="AJ100" s="3">
        <x:v>3</x:v>
      </x:c>
      <x:c r="AK100" s="2" t="s">
        <x:v>66</x:v>
      </x:c>
      <x:c r="AL100" s="3">
        <x:v>0</x:v>
      </x:c>
      <x:c r="AM100" s="2" t="s">
        <x:v>443</x:v>
      </x:c>
      <x:c r="AN100" s="3">
        <x:v>81</x:v>
      </x:c>
      <x:c r="AO100" s="3">
        <x:v>7</x:v>
      </x:c>
      <x:c r="AP100" s="3">
        <x:v>10</x:v>
      </x:c>
      <x:c r="AQ100" s="5">
        <x:v>35.816984605634907</x:v>
      </x:c>
      <x:c r="AR100" s="5">
        <x:v>32.406090677433532</x:v>
      </x:c>
      <x:c r="AS100" s="5">
        <x:f t="shared" si="7"/>
        <x:v>100</x:v>
      </x:c>
      <x:c r="AT100" s="5">
        <x:v>307.00272519115629</x:v>
      </x:c>
      <x:c r="AU100" s="5">
        <x:v>346.10985605906262</x:v>
      </x:c>
      <x:c r="AV100" s="5">
        <x:v>80.605301462360927</x:v>
      </x:c>
      <x:c r="AW100" s="2" t="b">
        <x:v>0</x:v>
      </x:c>
      <x:c r="AX100" s="2"/>
      <x:c r="AY100" s="2" t="s">
        <x:v>68</x:v>
      </x:c>
      <x:c r="AZ100" s="6">
        <x:v>80</x:v>
      </x:c>
      <x:c r="BA100" s="6"/>
      <x:c r="BB100" s="7"/>
      <x:c r="BC100" s="7"/>
      <x:c r="BD100" s="8"/>
      <x:c r="BE100" s="2" t="e">
        <x:f>IF(AE100="Blocked","No",IF(AJ100&lt;=[1]Model_Parameters!$B$20,"Yes","No"))</x:f>
        <x:v>#NAME?</x:v>
      </x:c>
      <x:c r="BF100" s="2" t="str">
        <x:f t="shared" si="8"/>
        <x:v>Yes</x:v>
      </x:c>
      <x:c r="BG100" s="2" t="str">
        <x:f t="shared" si="9"/>
        <x:v>Yes</x:v>
      </x:c>
      <x:c r="BH100" s="24"/>
      <x:c r="BI100" s="24"/>
    </x:row>
    <x:row r="101">
      <x:c r="A101" s="2" t="s">
        <x:v>59</x:v>
      </x:c>
      <x:c r="B101" s="3">
        <x:v>181</x:v>
      </x:c>
      <x:c r="C101" s="2" t="s">
        <x:v>444</x:v>
      </x:c>
      <x:c r="D101" s="2" t="s">
        <x:v>445</x:v>
      </x:c>
      <x:c r="E101" s="2" t="s">
        <x:v>62</x:v>
      </x:c>
      <x:c r="F101" s="2" t="s">
        <x:v>63</x:v>
      </x:c>
      <x:c r="G101" s="3">
        <x:v>77</x:v>
      </x:c>
      <x:c r="H101" s="3">
        <x:v>0</x:v>
      </x:c>
      <x:c r="I101" s="3">
        <x:v>120</x:v>
      </x:c>
      <x:c r="J101" s="4">
        <x:v>9.3023255813953487E-2</x:v>
      </x:c>
      <x:c r="K101" s="3">
        <x:v>0</x:v>
      </x:c>
      <x:c r="L101" s="2" t="s">
        <x:v>446</x:v>
      </x:c>
      <x:c r="M101" s="3">
        <x:v>1197</x:v>
      </x:c>
      <x:c r="N101" s="3">
        <x:v>80</x:v>
      </x:c>
      <x:c r="O101" s="5">
        <x:v>112.3313491522815</x:v>
      </x:c>
      <x:c r="P101" s="5">
        <x:v>22.384999729428831</x:v>
      </x:c>
      <x:c r="Q101" s="5"/>
      <x:c r="R101" s="5">
        <x:v>75.106604833030772</x:v>
      </x:c>
      <x:c r="S101" s="5">
        <x:f t="shared" si="5"/>
        <x:v>59.222890307614165</x:v>
      </x:c>
      <x:c r="T101" s="5">
        <x:f t="shared" si="6"/>
        <x:v>59.222890307614165</x:v>
      </x:c>
      <x:c r="U101" s="5" t="e">
        <x:f>T101/[1]Model_Parameters!$B$22</x:f>
        <x:v>#NAME?</x:v>
      </x:c>
      <x:c r="V101" s="5">
        <x:v>259.40349603520241</x:v>
      </x:c>
      <x:c r="W101" s="5">
        <x:v>259.40349603520241</x:v>
      </x:c>
      <x:c r="X101" s="5">
        <x:v>93.198325383422343</x:v>
      </x:c>
      <x:c r="Y101" s="3">
        <x:v>10</x:v>
      </x:c>
      <x:c r="Z101" s="3">
        <x:v>3</x:v>
      </x:c>
      <x:c r="AA101" s="3">
        <x:v>1</x:v>
      </x:c>
      <x:c r="AB101" s="2"/>
      <x:c r="AC101" s="3"/>
      <x:c r="AD101" s="3"/>
      <x:c r="AE101" s="2" t="s">
        <x:v>120</x:v>
      </x:c>
      <x:c r="AF101" s="3">
        <x:v>5</x:v>
      </x:c>
      <x:c r="AG101" s="3">
        <x:v>0</x:v>
      </x:c>
      <x:c r="AH101" s="2" t="s">
        <x:v>420</x:v>
      </x:c>
      <x:c r="AI101" s="3">
        <x:v>80</x:v>
      </x:c>
      <x:c r="AJ101" s="3">
        <x:v>1</x:v>
      </x:c>
      <x:c r="AK101" s="2" t="s">
        <x:v>66</x:v>
      </x:c>
      <x:c r="AL101" s="3">
        <x:v>0</x:v>
      </x:c>
      <x:c r="AM101" s="2" t="s">
        <x:v>447</x:v>
      </x:c>
      <x:c r="AN101" s="3">
        <x:v>81</x:v>
      </x:c>
      <x:c r="AO101" s="3">
        <x:v>15</x:v>
      </x:c>
      <x:c r="AP101" s="3">
        <x:v>16</x:v>
      </x:c>
      <x:c r="AQ101" s="5">
        <x:v>63.545015496757372</x:v>
      </x:c>
      <x:c r="AR101" s="5">
        <x:v>59.222890307614087</x:v>
      </x:c>
      <x:c r="AS101" s="5">
        <x:f t="shared" si="7"/>
        <x:v>99.999999999999872</x:v>
      </x:c>
      <x:c r="AT101" s="5">
        <x:v>254.18006198702949</x:v>
      </x:c>
      <x:c r="AU101" s="5">
        <x:v>259.40349603520241</x:v>
      </x:c>
      <x:c r="AV101" s="5">
        <x:v>75.106604833030772</x:v>
      </x:c>
      <x:c r="AW101" s="2" t="b">
        <x:v>0</x:v>
      </x:c>
      <x:c r="AX101" s="2"/>
      <x:c r="AY101" s="2" t="s">
        <x:v>68</x:v>
      </x:c>
      <x:c r="AZ101" s="6">
        <x:v>80</x:v>
      </x:c>
      <x:c r="BA101" s="6"/>
      <x:c r="BB101" s="7"/>
      <x:c r="BC101" s="7"/>
      <x:c r="BD101" s="8"/>
      <x:c r="BE101" s="2" t="e">
        <x:f>IF(AE101="Blocked","No",IF(AJ101&lt;=[1]Model_Parameters!$B$20,"Yes","No"))</x:f>
        <x:v>#NAME?</x:v>
      </x:c>
      <x:c r="BF101" s="2" t="str">
        <x:f t="shared" si="8"/>
        <x:v>Yes</x:v>
      </x:c>
      <x:c r="BG101" s="2" t="str">
        <x:f t="shared" si="9"/>
        <x:v>Yes</x:v>
      </x:c>
      <x:c r="BH101" s="24"/>
      <x:c r="BI101" s="24"/>
    </x:row>
    <x:row r="102">
      <x:c r="A102" s="2" t="s">
        <x:v>59</x:v>
      </x:c>
      <x:c r="B102" s="3">
        <x:v>183</x:v>
      </x:c>
      <x:c r="C102" s="2" t="s">
        <x:v>448</x:v>
      </x:c>
      <x:c r="D102" s="2" t="s">
        <x:v>449</x:v>
      </x:c>
      <x:c r="E102" s="2" t="s">
        <x:v>62</x:v>
      </x:c>
      <x:c r="F102" s="2" t="s">
        <x:v>63</x:v>
      </x:c>
      <x:c r="G102" s="3">
        <x:v>78</x:v>
      </x:c>
      <x:c r="H102" s="3">
        <x:v>0</x:v>
      </x:c>
      <x:c r="I102" s="3">
        <x:v>120</x:v>
      </x:c>
      <x:c r="J102" s="4">
        <x:v>0.10465116279069769</x:v>
      </x:c>
      <x:c r="K102" s="3">
        <x:v>0</x:v>
      </x:c>
      <x:c r="L102" s="2" t="s">
        <x:v>443</x:v>
      </x:c>
      <x:c r="M102" s="3">
        <x:v>1201</x:v>
      </x:c>
      <x:c r="N102" s="3">
        <x:v>81</x:v>
      </x:c>
      <x:c r="O102" s="5">
        <x:v>85.731320944279986</x:v>
      </x:c>
      <x:c r="P102" s="5">
        <x:v>29.55725709622094</x:v>
      </x:c>
      <x:c r="Q102" s="5"/>
      <x:c r="R102" s="5">
        <x:v>89.675858306080897</x:v>
      </x:c>
      <x:c r="S102" s="5">
        <x:f t="shared" si="5"/>
        <x:v>51.540470950436827</x:v>
      </x:c>
      <x:c r="T102" s="5">
        <x:f t="shared" si="6"/>
        <x:v>51.540470950436827</x:v>
      </x:c>
      <x:c r="U102" s="5" t="e">
        <x:f>T102/[1]Model_Parameters!$B$22</x:f>
        <x:v>#NAME?</x:v>
      </x:c>
      <x:c r="V102" s="5">
        <x:v>371.99739070445702</x:v>
      </x:c>
      <x:c r="W102" s="5">
        <x:v>371.99739070445702</x:v>
      </x:c>
      <x:c r="X102" s="5">
        <x:v>91.242588980007639</x:v>
      </x:c>
      <x:c r="Y102" s="3">
        <x:v>10</x:v>
      </x:c>
      <x:c r="Z102" s="3">
        <x:v>1</x:v>
      </x:c>
      <x:c r="AA102" s="3">
        <x:v>1</x:v>
      </x:c>
      <x:c r="AB102" s="2"/>
      <x:c r="AC102" s="3"/>
      <x:c r="AD102" s="3"/>
      <x:c r="AE102" s="2" t="s">
        <x:v>120</x:v>
      </x:c>
      <x:c r="AF102" s="3">
        <x:v>4</x:v>
      </x:c>
      <x:c r="AG102" s="3">
        <x:v>0</x:v>
      </x:c>
      <x:c r="AH102" s="2" t="s">
        <x:v>450</x:v>
      </x:c>
      <x:c r="AI102" s="3">
        <x:v>81</x:v>
      </x:c>
      <x:c r="AJ102" s="3">
        <x:v>2</x:v>
      </x:c>
      <x:c r="AK102" s="2" t="s">
        <x:v>66</x:v>
      </x:c>
      <x:c r="AL102" s="3">
        <x:v>0</x:v>
      </x:c>
      <x:c r="AM102" s="2" t="s">
        <x:v>451</x:v>
      </x:c>
      <x:c r="AN102" s="3">
        <x:v>82</x:v>
      </x:c>
      <x:c r="AO102" s="3">
        <x:v>12</x:v>
      </x:c>
      <x:c r="AP102" s="3">
        <x:v>14</x:v>
      </x:c>
      <x:c r="AQ102" s="5">
        <x:v>56.487295600226737</x:v>
      </x:c>
      <x:c r="AR102" s="5">
        <x:v>51.540470950436813</x:v>
      </x:c>
      <x:c r="AS102" s="5">
        <x:f t="shared" si="7"/>
        <x:v>99.999999999999972</x:v>
      </x:c>
      <x:c r="AT102" s="5">
        <x:v>282.43647800113371</x:v>
      </x:c>
      <x:c r="AU102" s="5">
        <x:v>371.99739070445702</x:v>
      </x:c>
      <x:c r="AV102" s="5">
        <x:v>89.675858306080897</x:v>
      </x:c>
      <x:c r="AW102" s="2" t="b">
        <x:v>0</x:v>
      </x:c>
      <x:c r="AX102" s="2"/>
      <x:c r="AY102" s="2" t="s">
        <x:v>68</x:v>
      </x:c>
      <x:c r="AZ102" s="6">
        <x:v>81</x:v>
      </x:c>
      <x:c r="BA102" s="6"/>
      <x:c r="BB102" s="7"/>
      <x:c r="BC102" s="7"/>
      <x:c r="BD102" s="8"/>
      <x:c r="BE102" s="2" t="e">
        <x:f>IF(AE102="Blocked","No",IF(AJ102&lt;=[1]Model_Parameters!$B$20,"Yes","No"))</x:f>
        <x:v>#NAME?</x:v>
      </x:c>
      <x:c r="BF102" s="2" t="str">
        <x:f t="shared" si="8"/>
        <x:v>Yes</x:v>
      </x:c>
      <x:c r="BG102" s="2" t="str">
        <x:f t="shared" si="9"/>
        <x:v>Yes</x:v>
      </x:c>
      <x:c r="BH102" s="24"/>
      <x:c r="BI102" s="24"/>
    </x:row>
    <x:row r="103">
      <x:c r="A103" s="2" t="s">
        <x:v>59</x:v>
      </x:c>
      <x:c r="B103" s="3">
        <x:v>188</x:v>
      </x:c>
      <x:c r="C103" s="2" t="s">
        <x:v>452</x:v>
      </x:c>
      <x:c r="D103" s="2" t="s">
        <x:v>453</x:v>
      </x:c>
      <x:c r="E103" s="2" t="s">
        <x:v>62</x:v>
      </x:c>
      <x:c r="F103" s="2" t="s">
        <x:v>63</x:v>
      </x:c>
      <x:c r="G103" s="3">
        <x:v>79</x:v>
      </x:c>
      <x:c r="H103" s="3">
        <x:v>0</x:v>
      </x:c>
      <x:c r="I103" s="3">
        <x:v>120</x:v>
      </x:c>
      <x:c r="J103" s="4">
        <x:v>0.10465116279069769</x:v>
      </x:c>
      <x:c r="K103" s="3">
        <x:v>0</x:v>
      </x:c>
      <x:c r="L103" s="2" t="s">
        <x:v>454</x:v>
      </x:c>
      <x:c r="M103" s="3">
        <x:v>1206</x:v>
      </x:c>
      <x:c r="N103" s="3">
        <x:v>81</x:v>
      </x:c>
      <x:c r="O103" s="5">
        <x:v>137.54858924439549</x:v>
      </x:c>
      <x:c r="P103" s="5">
        <x:v>19.83824096159719</x:v>
      </x:c>
      <x:c r="Q103" s="5"/>
      <x:c r="R103" s="5">
        <x:v>45.018232094617893</x:v>
      </x:c>
      <x:c r="S103" s="5">
        <x:f t="shared" si="5"/>
        <x:v>34.634722575333853</x:v>
      </x:c>
      <x:c r="T103" s="5">
        <x:f t="shared" si="6"/>
        <x:v>34.634722575333853</x:v>
      </x:c>
      <x:c r="U103" s="5" t="e">
        <x:f>T103/[1]Model_Parameters!$B$22</x:f>
        <x:v>#NAME?</x:v>
      </x:c>
      <x:c r="V103" s="5">
        <x:v>257.27167243013457</x:v>
      </x:c>
      <x:c r="W103" s="5">
        <x:v>257.27167243013457</x:v>
      </x:c>
      <x:c r="X103" s="5">
        <x:v>94.689999440731555</x:v>
      </x:c>
      <x:c r="Y103" s="3">
        <x:v>10</x:v>
      </x:c>
      <x:c r="Z103" s="3">
        <x:v>4</x:v>
      </x:c>
      <x:c r="AA103" s="3">
        <x:v>1</x:v>
      </x:c>
      <x:c r="AB103" s="2"/>
      <x:c r="AC103" s="3"/>
      <x:c r="AD103" s="3"/>
      <x:c r="AE103" s="2" t="s">
        <x:v>120</x:v>
      </x:c>
      <x:c r="AF103" s="3">
        <x:v>2</x:v>
      </x:c>
      <x:c r="AG103" s="3">
        <x:v>0</x:v>
      </x:c>
      <x:c r="AH103" s="2" t="s">
        <x:v>427</x:v>
      </x:c>
      <x:c r="AI103" s="3">
        <x:v>81</x:v>
      </x:c>
      <x:c r="AJ103" s="3">
        <x:v>1</x:v>
      </x:c>
      <x:c r="AK103" s="2" t="s">
        <x:v>66</x:v>
      </x:c>
      <x:c r="AL103" s="3">
        <x:v>0</x:v>
      </x:c>
      <x:c r="AM103" s="2" t="s">
        <x:v>455</x:v>
      </x:c>
      <x:c r="AN103" s="3">
        <x:v>82</x:v>
      </x:c>
      <x:c r="AO103" s="3">
        <x:v>9</x:v>
      </x:c>
      <x:c r="AP103" s="3">
        <x:v>10</x:v>
      </x:c>
      <x:c r="AQ103" s="5">
        <x:v>36.576959319777423</x:v>
      </x:c>
      <x:c r="AR103" s="5">
        <x:v>34.634722575333839</x:v>
      </x:c>
      <x:c r="AS103" s="5">
        <x:f t="shared" si="7"/>
        <x:v>99.999999999999957</x:v>
      </x:c>
      <x:c r="AT103" s="5">
        <x:v>243.84639546518281</x:v>
      </x:c>
      <x:c r="AU103" s="5">
        <x:v>257.27167243013457</x:v>
      </x:c>
      <x:c r="AV103" s="5">
        <x:v>45.018232094617893</x:v>
      </x:c>
      <x:c r="AW103" s="2" t="b">
        <x:v>0</x:v>
      </x:c>
      <x:c r="AX103" s="2"/>
      <x:c r="AY103" s="2" t="s">
        <x:v>68</x:v>
      </x:c>
      <x:c r="AZ103" s="6">
        <x:v>81</x:v>
      </x:c>
      <x:c r="BA103" s="6"/>
      <x:c r="BB103" s="7"/>
      <x:c r="BC103" s="7"/>
      <x:c r="BD103" s="8"/>
      <x:c r="BE103" s="2" t="e">
        <x:f>IF(AE103="Blocked","No",IF(AJ103&lt;=[1]Model_Parameters!$B$20,"Yes","No"))</x:f>
        <x:v>#NAME?</x:v>
      </x:c>
      <x:c r="BF103" s="2" t="str">
        <x:f t="shared" si="8"/>
        <x:v>Yes</x:v>
      </x:c>
      <x:c r="BG103" s="2" t="str">
        <x:f t="shared" si="9"/>
        <x:v>Yes</x:v>
      </x:c>
      <x:c r="BH103" s="24"/>
      <x:c r="BI103" s="24"/>
    </x:row>
    <x:row r="104">
      <x:c r="A104" s="2" t="s">
        <x:v>59</x:v>
      </x:c>
      <x:c r="B104" s="3">
        <x:v>191</x:v>
      </x:c>
      <x:c r="C104" s="2" t="s">
        <x:v>456</x:v>
      </x:c>
      <x:c r="D104" s="2" t="s">
        <x:v>457</x:v>
      </x:c>
      <x:c r="E104" s="2" t="s">
        <x:v>62</x:v>
      </x:c>
      <x:c r="F104" s="2" t="s">
        <x:v>63</x:v>
      </x:c>
      <x:c r="G104" s="3">
        <x:v>80</x:v>
      </x:c>
      <x:c r="H104" s="3">
        <x:v>0</x:v>
      </x:c>
      <x:c r="I104" s="3">
        <x:v>120</x:v>
      </x:c>
      <x:c r="J104" s="4">
        <x:v>0.10465116279069769</x:v>
      </x:c>
      <x:c r="K104" s="3">
        <x:v>0</x:v>
      </x:c>
      <x:c r="L104" s="2" t="s">
        <x:v>458</x:v>
      </x:c>
      <x:c r="M104" s="3">
        <x:v>1217</x:v>
      </x:c>
      <x:c r="N104" s="3">
        <x:v>82</x:v>
      </x:c>
      <x:c r="O104" s="5">
        <x:v>46.539923005812383</x:v>
      </x:c>
      <x:c r="P104" s="5">
        <x:v>23.135191411778411</x:v>
      </x:c>
      <x:c r="Q104" s="5"/>
      <x:c r="R104" s="5">
        <x:v>91.040687995971197</x:v>
      </x:c>
      <x:c r="S104" s="5">
        <x:f t="shared" si="5"/>
        <x:v>31.603165826997884</x:v>
      </x:c>
      <x:c r="T104" s="5">
        <x:f t="shared" si="6"/>
        <x:v>31.603165826997884</x:v>
      </x:c>
      <x:c r="U104" s="5" t="e">
        <x:f>T104/[1]Model_Parameters!$B$22</x:f>
        <x:v>#NAME?</x:v>
      </x:c>
      <x:c r="V104" s="5">
        <x:v>367.13896119324261</x:v>
      </x:c>
      <x:c r="W104" s="5">
        <x:v>367.13896119324261</x:v>
      </x:c>
      <x:c r="X104" s="5">
        <x:v>92.010787130742116</x:v>
      </x:c>
      <x:c r="Y104" s="3">
        <x:v>5</x:v>
      </x:c>
      <x:c r="Z104" s="3">
        <x:v>0</x:v>
      </x:c>
      <x:c r="AA104" s="3"/>
      <x:c r="AB104" s="2"/>
      <x:c r="AC104" s="3"/>
      <x:c r="AD104" s="3"/>
      <x:c r="AE104" s="2" t="s">
        <x:v>65</x:v>
      </x:c>
      <x:c r="AF104" s="3">
        <x:v>2</x:v>
      </x:c>
      <x:c r="AG104" s="3">
        <x:v>0</x:v>
      </x:c>
      <x:c r="AH104" s="2" t="s">
        <x:v>458</x:v>
      </x:c>
      <x:c r="AI104" s="3">
        <x:v>82</x:v>
      </x:c>
      <x:c r="AJ104" s="3">
        <x:v>0</x:v>
      </x:c>
      <x:c r="AK104" s="2" t="s">
        <x:v>66</x:v>
      </x:c>
      <x:c r="AL104" s="3">
        <x:v>0</x:v>
      </x:c>
      <x:c r="AM104" s="2" t="s">
        <x:v>459</x:v>
      </x:c>
      <x:c r="AN104" s="3">
        <x:v>82</x:v>
      </x:c>
      <x:c r="AO104" s="3">
        <x:v>7</x:v>
      </x:c>
      <x:c r="AP104" s="3">
        <x:v>7</x:v>
      </x:c>
      <x:c r="AQ104" s="5">
        <x:v>34.347239940564322</x:v>
      </x:c>
      <x:c r="AR104" s="5">
        <x:v>31.603165826997881</x:v>
      </x:c>
      <x:c r="AS104" s="5">
        <x:f t="shared" si="7"/>
        <x:v>99.999999999999986</x:v>
      </x:c>
      <x:c r="AT104" s="5">
        <x:v>294.40491377626557</x:v>
      </x:c>
      <x:c r="AU104" s="5">
        <x:v>367.13896119324261</x:v>
      </x:c>
      <x:c r="AV104" s="5">
        <x:v>91.040687995971197</x:v>
      </x:c>
      <x:c r="AW104" s="2" t="b">
        <x:v>0</x:v>
      </x:c>
      <x:c r="AX104" s="2"/>
      <x:c r="AY104" s="2" t="s">
        <x:v>68</x:v>
      </x:c>
      <x:c r="AZ104" s="6">
        <x:v>82</x:v>
      </x:c>
      <x:c r="BA104" s="6"/>
      <x:c r="BB104" s="7"/>
      <x:c r="BC104" s="7"/>
      <x:c r="BD104" s="8"/>
      <x:c r="BE104" s="2" t="e">
        <x:f>IF(AE104="Blocked","No",IF(AJ104&lt;=[1]Model_Parameters!$B$20,"Yes","No"))</x:f>
        <x:v>#NAME?</x:v>
      </x:c>
      <x:c r="BF104" s="2" t="str">
        <x:f t="shared" si="8"/>
        <x:v>Yes</x:v>
      </x:c>
      <x:c r="BG104" s="2" t="str">
        <x:f t="shared" si="9"/>
        <x:v>Yes</x:v>
      </x:c>
      <x:c r="BH104" s="24"/>
      <x:c r="BI104" s="24"/>
    </x:row>
    <x:row r="105">
      <x:c r="A105" s="2" t="s">
        <x:v>59</x:v>
      </x:c>
      <x:c r="B105" s="3">
        <x:v>193</x:v>
      </x:c>
      <x:c r="C105" s="2" t="s">
        <x:v>460</x:v>
      </x:c>
      <x:c r="D105" s="2" t="s">
        <x:v>461</x:v>
      </x:c>
      <x:c r="E105" s="2" t="s">
        <x:v>62</x:v>
      </x:c>
      <x:c r="F105" s="2" t="s">
        <x:v>63</x:v>
      </x:c>
      <x:c r="G105" s="3">
        <x:v>81</x:v>
      </x:c>
      <x:c r="H105" s="3">
        <x:v>0</x:v>
      </x:c>
      <x:c r="I105" s="3">
        <x:v>120</x:v>
      </x:c>
      <x:c r="J105" s="4">
        <x:v>0.10465116279069769</x:v>
      </x:c>
      <x:c r="K105" s="3">
        <x:v>0</x:v>
      </x:c>
      <x:c r="L105" s="2" t="s">
        <x:v>462</x:v>
      </x:c>
      <x:c r="M105" s="3">
        <x:v>1223</x:v>
      </x:c>
      <x:c r="N105" s="3">
        <x:v>82</x:v>
      </x:c>
      <x:c r="O105" s="5">
        <x:v>136.90194514530739</x:v>
      </x:c>
      <x:c r="P105" s="5">
        <x:v>16.748760994465488</x:v>
      </x:c>
      <x:c r="Q105" s="5"/>
      <x:c r="R105" s="5">
        <x:v>78.348781174170881</x:v>
      </x:c>
      <x:c r="S105" s="5" t="n">
        <x:f t="shared" si="5">O105*(R105-P105)/100</x:f>
        <x:v>84.33162583591857</x:v>
      </x:c>
      <x:c r="T105" s="5" t="n">
        <x:f t="shared" si="6">O105*(R105-IF(Q105="",P105,Q105))/100</x:f>
        <x:v>84.33162583591857</x:v>
      </x:c>
      <x:c r="U105" s="5" t="e">
        <x:f>T105/[1]Model_Parameters!$B$22</x:f>
        <x:v>#NAME?</x:v>
      </x:c>
      <x:c r="V105" s="5">
        <x:v>152.69656423612739</x:v>
      </x:c>
      <x:c r="W105" s="5">
        <x:v>152.69656423612739</x:v>
      </x:c>
      <x:c r="X105" s="5">
        <x:v>92.083375284656299</x:v>
      </x:c>
      <x:c r="Y105" s="3">
        <x:v>6</x:v>
      </x:c>
      <x:c r="Z105" s="3">
        <x:v>0</x:v>
      </x:c>
      <x:c r="AA105" s="3"/>
      <x:c r="AB105" s="2"/>
      <x:c r="AC105" s="3"/>
      <x:c r="AD105" s="3"/>
      <x:c r="AE105" s="2" t="s">
        <x:v>65</x:v>
      </x:c>
      <x:c r="AF105" s="3">
        <x:v>5</x:v>
      </x:c>
      <x:c r="AG105" s="3">
        <x:v>0</x:v>
      </x:c>
      <x:c r="AH105" s="2" t="s">
        <x:v>462</x:v>
      </x:c>
      <x:c r="AI105" s="3">
        <x:v>82</x:v>
      </x:c>
      <x:c r="AJ105" s="3">
        <x:v>0</x:v>
      </x:c>
      <x:c r="AK105" s="2" t="s">
        <x:v>66</x:v>
      </x:c>
      <x:c r="AL105" s="3">
        <x:v>0</x:v>
      </x:c>
      <x:c r="AM105" s="2" t="s">
        <x:v>463</x:v>
      </x:c>
      <x:c r="AN105" s="3">
        <x:v>85</x:v>
      </x:c>
      <x:c r="AO105" s="3">
        <x:v>38</x:v>
      </x:c>
      <x:c r="AP105" s="3">
        <x:v>38</x:v>
      </x:c>
      <x:c r="AQ105" s="5">
        <x:v>91.581814388563757</x:v>
      </x:c>
      <x:c r="AR105" s="5">
        <x:v>84.331625835918643</x:v>
      </x:c>
      <x:c r="AS105" s="5" t="n">
        <x:f t="shared" si="7">IF(S105=0,100,IFERROR(AR105/S105*100,0))</x:f>
        <x:v>100.00000000000009</x:v>
      </x:c>
      <x:c r="AT105" s="5">
        <x:v>144.60286482404811</x:v>
      </x:c>
      <x:c r="AU105" s="5">
        <x:v>152.69656423612739</x:v>
      </x:c>
      <x:c r="AV105" s="5">
        <x:v>78.348781174170881</x:v>
      </x:c>
      <x:c r="AW105" s="2" t="b">
        <x:v>0</x:v>
      </x:c>
      <x:c r="AX105" s="2"/>
      <x:c r="AY105" s="2" t="s">
        <x:v>68</x:v>
      </x:c>
      <x:c r="AZ105" s="6">
        <x:v>82</x:v>
      </x:c>
      <x:c r="BA105" s="6"/>
      <x:c r="BB105" s="7"/>
      <x:c r="BC105" s="7"/>
      <x:c r="BD105" s="8"/>
      <x:c r="BE105" s="2" t="e">
        <x:f>IF(AE105="Blocked","No",IF(AJ105&lt;=[1]Model_Parameters!$B$20,"Yes","No"))</x:f>
        <x:v>#NAME?</x:v>
      </x:c>
      <x:c r="BF105" s="2" t="str">
        <x:f t="shared" si="8">IF(AK105="Completed","Yes","No")</x:f>
        <x:v>Yes</x:v>
      </x:c>
      <x:c r="BG105" s="2" t="e">
        <x:f t="shared" si="9">IF(AND(BE105="Yes",BF105="Yes"),"Yes","No")</x:f>
        <x:v>#NAME?</x:v>
      </x:c>
      <x:c r="BH105" s="24"/>
      <x:c r="BI105" s="24"/>
    </x:row>
    <x:row r="106">
      <x:c r="A106" s="2" t="s">
        <x:v>59</x:v>
      </x:c>
      <x:c r="B106" s="3">
        <x:v>196</x:v>
      </x:c>
      <x:c r="C106" s="2" t="s">
        <x:v>464</x:v>
      </x:c>
      <x:c r="D106" s="2" t="s">
        <x:v>465</x:v>
      </x:c>
      <x:c r="E106" s="2" t="s">
        <x:v>62</x:v>
      </x:c>
      <x:c r="F106" s="2" t="s">
        <x:v>63</x:v>
      </x:c>
      <x:c r="G106" s="3">
        <x:v>82</x:v>
      </x:c>
      <x:c r="H106" s="3">
        <x:v>0</x:v>
      </x:c>
      <x:c r="I106" s="3">
        <x:v>120</x:v>
      </x:c>
      <x:c r="J106" s="4">
        <x:v>0.10465116279069769</x:v>
      </x:c>
      <x:c r="K106" s="3">
        <x:v>0</x:v>
      </x:c>
      <x:c r="L106" s="2" t="s">
        <x:v>466</x:v>
      </x:c>
      <x:c r="M106" s="3">
        <x:v>1231</x:v>
      </x:c>
      <x:c r="N106" s="3">
        <x:v>83</x:v>
      </x:c>
      <x:c r="O106" s="5">
        <x:v>108.7178322439046</x:v>
      </x:c>
      <x:c r="P106" s="5">
        <x:v>15.887289760798261</x:v>
      </x:c>
      <x:c r="Q106" s="5"/>
      <x:c r="R106" s="5">
        <x:v>80.474623862111088</x:v>
      </x:c>
      <x:c r="S106" s="5">
        <x:f t="shared" si="5"/>
        <x:v>70.217949539075448</x:v>
      </x:c>
      <x:c r="T106" s="5">
        <x:f t="shared" si="6"/>
        <x:v>70.217949539075448</x:v>
      </x:c>
      <x:c r="U106" s="5" t="e">
        <x:f>T106/[1]Model_Parameters!$B$22</x:f>
        <x:v>#NAME?</x:v>
      </x:c>
      <x:c r="V106" s="5">
        <x:v>231.1405492641957</x:v>
      </x:c>
      <x:c r="W106" s="5">
        <x:v>231.1405492641957</x:v>
      </x:c>
      <x:c r="X106" s="5">
        <x:v>94.692917004979265</x:v>
      </x:c>
      <x:c r="Y106" s="3">
        <x:v>6</x:v>
      </x:c>
      <x:c r="Z106" s="3">
        <x:v>0</x:v>
      </x:c>
      <x:c r="AA106" s="3"/>
      <x:c r="AB106" s="2"/>
      <x:c r="AC106" s="3"/>
      <x:c r="AD106" s="3"/>
      <x:c r="AE106" s="2" t="s">
        <x:v>65</x:v>
      </x:c>
      <x:c r="AF106" s="3">
        <x:v>8</x:v>
      </x:c>
      <x:c r="AG106" s="3">
        <x:v>0</x:v>
      </x:c>
      <x:c r="AH106" s="2" t="s">
        <x:v>466</x:v>
      </x:c>
      <x:c r="AI106" s="3">
        <x:v>83</x:v>
      </x:c>
      <x:c r="AJ106" s="3">
        <x:v>0</x:v>
      </x:c>
      <x:c r="AK106" s="2" t="s">
        <x:v>66</x:v>
      </x:c>
      <x:c r="AL106" s="3">
        <x:v>0</x:v>
      </x:c>
      <x:c r="AM106" s="2" t="s">
        <x:v>467</x:v>
      </x:c>
      <x:c r="AN106" s="3">
        <x:v>84</x:v>
      </x:c>
      <x:c r="AO106" s="3">
        <x:v>21</x:v>
      </x:c>
      <x:c r="AP106" s="3">
        <x:v>21</x:v>
      </x:c>
      <x:c r="AQ106" s="5">
        <x:v>74.153328210792353</x:v>
      </x:c>
      <x:c r="AR106" s="5">
        <x:v>70.217949539075477</x:v>
      </x:c>
      <x:c r="AS106" s="5">
        <x:f t="shared" si="7"/>
        <x:v>100.00000000000004</x:v>
      </x:c>
      <x:c r="AT106" s="5">
        <x:v>211.8666520308353</x:v>
      </x:c>
      <x:c r="AU106" s="5">
        <x:v>231.1405492641957</x:v>
      </x:c>
      <x:c r="AV106" s="5">
        <x:v>80.474623862111088</x:v>
      </x:c>
      <x:c r="AW106" s="2" t="b">
        <x:v>0</x:v>
      </x:c>
      <x:c r="AX106" s="2"/>
      <x:c r="AY106" s="2" t="s">
        <x:v>68</x:v>
      </x:c>
      <x:c r="AZ106" s="6">
        <x:v>83</x:v>
      </x:c>
      <x:c r="BA106" s="6"/>
      <x:c r="BB106" s="7"/>
      <x:c r="BC106" s="7"/>
      <x:c r="BD106" s="8"/>
      <x:c r="BE106" s="2" t="e">
        <x:f>IF(AE106="Blocked","No",IF(AJ106&lt;=[1]Model_Parameters!$B$20,"Yes","No"))</x:f>
        <x:v>#NAME?</x:v>
      </x:c>
      <x:c r="BF106" s="2" t="str">
        <x:f t="shared" si="8"/>
        <x:v>Yes</x:v>
      </x:c>
      <x:c r="BG106" s="2" t="str">
        <x:f t="shared" si="9"/>
        <x:v>Yes</x:v>
      </x:c>
      <x:c r="BH106" s="24"/>
      <x:c r="BI106" s="24"/>
    </x:row>
    <x:row r="107">
      <x:c r="A107" s="2" t="s">
        <x:v>59</x:v>
      </x:c>
      <x:c r="B107" s="3">
        <x:v>199</x:v>
      </x:c>
      <x:c r="C107" s="2" t="s">
        <x:v>468</x:v>
      </x:c>
      <x:c r="D107" s="2" t="s">
        <x:v>469</x:v>
      </x:c>
      <x:c r="E107" s="2" t="s">
        <x:v>62</x:v>
      </x:c>
      <x:c r="F107" s="2" t="s">
        <x:v>63</x:v>
      </x:c>
      <x:c r="G107" s="3">
        <x:v>83</x:v>
      </x:c>
      <x:c r="H107" s="3">
        <x:v>0</x:v>
      </x:c>
      <x:c r="I107" s="3">
        <x:v>120</x:v>
      </x:c>
      <x:c r="J107" s="4">
        <x:v>0.10465116279069769</x:v>
      </x:c>
      <x:c r="K107" s="3">
        <x:v>0</x:v>
      </x:c>
      <x:c r="L107" s="2" t="s">
        <x:v>470</x:v>
      </x:c>
      <x:c r="M107" s="3">
        <x:v>1237</x:v>
      </x:c>
      <x:c r="N107" s="3">
        <x:v>83</x:v>
      </x:c>
      <x:c r="O107" s="5">
        <x:v>97.632619681934571</x:v>
      </x:c>
      <x:c r="P107" s="5">
        <x:v>30.94489903213481</x:v>
      </x:c>
      <x:c r="Q107" s="5"/>
      <x:c r="R107" s="5">
        <x:v>88.338116902313402</x:v>
      </x:c>
      <x:c r="S107" s="5">
        <x:f t="shared" si="5"/>
        <x:v>56.034502126415575</x:v>
      </x:c>
      <x:c r="T107" s="5">
        <x:f t="shared" si="6"/>
        <x:v>56.034502126415575</x:v>
      </x:c>
      <x:c r="U107" s="5" t="e">
        <x:f>T107/[1]Model_Parameters!$B$22</x:f>
        <x:v>#NAME?</x:v>
      </x:c>
      <x:c r="V107" s="5">
        <x:v>282.75778236162779</x:v>
      </x:c>
      <x:c r="W107" s="5">
        <x:v>282.75778236162779</x:v>
      </x:c>
      <x:c r="X107" s="5">
        <x:v>91.253110308784642</x:v>
      </x:c>
      <x:c r="Y107" s="3">
        <x:v>7</x:v>
      </x:c>
      <x:c r="Z107" s="3">
        <x:v>0</x:v>
      </x:c>
      <x:c r="AA107" s="3"/>
      <x:c r="AB107" s="2"/>
      <x:c r="AC107" s="3"/>
      <x:c r="AD107" s="3"/>
      <x:c r="AE107" s="2" t="s">
        <x:v>65</x:v>
      </x:c>
      <x:c r="AF107" s="3">
        <x:v>3</x:v>
      </x:c>
      <x:c r="AG107" s="3">
        <x:v>0</x:v>
      </x:c>
      <x:c r="AH107" s="2" t="s">
        <x:v>470</x:v>
      </x:c>
      <x:c r="AI107" s="3">
        <x:v>83</x:v>
      </x:c>
      <x:c r="AJ107" s="3">
        <x:v>0</x:v>
      </x:c>
      <x:c r="AK107" s="2" t="s">
        <x:v>66</x:v>
      </x:c>
      <x:c r="AL107" s="3">
        <x:v>0</x:v>
      </x:c>
      <x:c r="AM107" s="2" t="s">
        <x:v>471</x:v>
      </x:c>
      <x:c r="AN107" s="3">
        <x:v>84</x:v>
      </x:c>
      <x:c r="AO107" s="3">
        <x:v>17</x:v>
      </x:c>
      <x:c r="AP107" s="3">
        <x:v>17</x:v>
      </x:c>
      <x:c r="AQ107" s="5">
        <x:v>61.405580518630657</x:v>
      </x:c>
      <x:c r="AR107" s="5">
        <x:v>56.034502126415603</x:v>
      </x:c>
      <x:c r="AS107" s="5">
        <x:f t="shared" si="7"/>
        <x:v>100.00000000000004</x:v>
      </x:c>
      <x:c r="AT107" s="5">
        <x:v>216.72557830104941</x:v>
      </x:c>
      <x:c r="AU107" s="5">
        <x:v>282.75778236162779</x:v>
      </x:c>
      <x:c r="AV107" s="5">
        <x:v>88.338116902313402</x:v>
      </x:c>
      <x:c r="AW107" s="2" t="b">
        <x:v>0</x:v>
      </x:c>
      <x:c r="AX107" s="2"/>
      <x:c r="AY107" s="2" t="s">
        <x:v>68</x:v>
      </x:c>
      <x:c r="AZ107" s="6">
        <x:v>83</x:v>
      </x:c>
      <x:c r="BA107" s="6"/>
      <x:c r="BB107" s="7"/>
      <x:c r="BC107" s="7"/>
      <x:c r="BD107" s="8"/>
      <x:c r="BE107" s="2" t="e">
        <x:f>IF(AE107="Blocked","No",IF(AJ107&lt;=[1]Model_Parameters!$B$20,"Yes","No"))</x:f>
        <x:v>#NAME?</x:v>
      </x:c>
      <x:c r="BF107" s="2" t="str">
        <x:f t="shared" si="8"/>
        <x:v>Yes</x:v>
      </x:c>
      <x:c r="BG107" s="2" t="str">
        <x:f t="shared" si="9"/>
        <x:v>Yes</x:v>
      </x:c>
      <x:c r="BH107" s="24"/>
      <x:c r="BI107" s="24"/>
    </x:row>
    <x:row r="108">
      <x:c r="A108" s="2" t="s">
        <x:v>59</x:v>
      </x:c>
      <x:c r="B108" s="3">
        <x:v>201</x:v>
      </x:c>
      <x:c r="C108" s="2" t="s">
        <x:v>472</x:v>
      </x:c>
      <x:c r="D108" s="2" t="s">
        <x:v>473</x:v>
      </x:c>
      <x:c r="E108" s="2" t="s">
        <x:v>62</x:v>
      </x:c>
      <x:c r="F108" s="2" t="s">
        <x:v>63</x:v>
      </x:c>
      <x:c r="G108" s="3">
        <x:v>84</x:v>
      </x:c>
      <x:c r="H108" s="3">
        <x:v>0</x:v>
      </x:c>
      <x:c r="I108" s="3">
        <x:v>120</x:v>
      </x:c>
      <x:c r="J108" s="4">
        <x:v>0.10465116279069769</x:v>
      </x:c>
      <x:c r="K108" s="3">
        <x:v>0</x:v>
      </x:c>
      <x:c r="L108" s="2" t="s">
        <x:v>474</x:v>
      </x:c>
      <x:c r="M108" s="3">
        <x:v>1241</x:v>
      </x:c>
      <x:c r="N108" s="3">
        <x:v>83</x:v>
      </x:c>
      <x:c r="O108" s="5">
        <x:v>104.11931342740969</x:v>
      </x:c>
      <x:c r="P108" s="5">
        <x:v>34.075211567971479</x:v>
      </x:c>
      <x:c r="Q108" s="5"/>
      <x:c r="R108" s="5">
        <x:v>92.059090751670809</x:v>
      </x:c>
      <x:c r="S108" s="5">
        <x:f t="shared" si="5"/>
        <x:v>60.372416904646471</x:v>
      </x:c>
      <x:c r="T108" s="5">
        <x:f t="shared" si="6"/>
        <x:v>60.372416904646471</x:v>
      </x:c>
      <x:c r="U108" s="5" t="e">
        <x:f>T108/[1]Model_Parameters!$B$22</x:f>
        <x:v>#NAME?</x:v>
      </x:c>
      <x:c r="V108" s="5">
        <x:v>302.47279160831408</x:v>
      </x:c>
      <x:c r="W108" s="5">
        <x:v>302.47279160831408</x:v>
      </x:c>
      <x:c r="X108" s="5">
        <x:v>93.493890803711338</x:v>
      </x:c>
      <x:c r="Y108" s="3">
        <x:v>5</x:v>
      </x:c>
      <x:c r="Z108" s="3">
        <x:v>0</x:v>
      </x:c>
      <x:c r="AA108" s="3"/>
      <x:c r="AB108" s="2"/>
      <x:c r="AC108" s="3"/>
      <x:c r="AD108" s="3"/>
      <x:c r="AE108" s="2" t="s">
        <x:v>65</x:v>
      </x:c>
      <x:c r="AF108" s="3">
        <x:v>6</x:v>
      </x:c>
      <x:c r="AG108" s="3">
        <x:v>0</x:v>
      </x:c>
      <x:c r="AH108" s="2" t="s">
        <x:v>474</x:v>
      </x:c>
      <x:c r="AI108" s="3">
        <x:v>83</x:v>
      </x:c>
      <x:c r="AJ108" s="3">
        <x:v>0</x:v>
      </x:c>
      <x:c r="AK108" s="2" t="s">
        <x:v>66</x:v>
      </x:c>
      <x:c r="AL108" s="3">
        <x:v>0</x:v>
      </x:c>
      <x:c r="AM108" s="2" t="s">
        <x:v>475</x:v>
      </x:c>
      <x:c r="AN108" s="3">
        <x:v>85</x:v>
      </x:c>
      <x:c r="AO108" s="3">
        <x:v>19</x:v>
      </x:c>
      <x:c r="AP108" s="3">
        <x:v>19</x:v>
      </x:c>
      <x:c r="AQ108" s="5">
        <x:v>64.573649022049167</x:v>
      </x:c>
      <x:c r="AR108" s="5">
        <x:v>60.372416904646457</x:v>
      </x:c>
      <x:c r="AS108" s="5">
        <x:f t="shared" si="7"/>
        <x:v>99.999999999999972</x:v>
      </x:c>
      <x:c r="AT108" s="5">
        <x:v>203.91678638541839</x:v>
      </x:c>
      <x:c r="AU108" s="5">
        <x:v>302.47279160831408</x:v>
      </x:c>
      <x:c r="AV108" s="5">
        <x:v>92.059090751670809</x:v>
      </x:c>
      <x:c r="AW108" s="2" t="b">
        <x:v>0</x:v>
      </x:c>
      <x:c r="AX108" s="2"/>
      <x:c r="AY108" s="2" t="s">
        <x:v>68</x:v>
      </x:c>
      <x:c r="AZ108" s="6">
        <x:v>83</x:v>
      </x:c>
      <x:c r="BA108" s="6"/>
      <x:c r="BB108" s="7"/>
      <x:c r="BC108" s="7"/>
      <x:c r="BD108" s="8"/>
      <x:c r="BE108" s="2" t="e">
        <x:f>IF(AE108="Blocked","No",IF(AJ108&lt;=[1]Model_Parameters!$B$20,"Yes","No"))</x:f>
        <x:v>#NAME?</x:v>
      </x:c>
      <x:c r="BF108" s="2" t="str">
        <x:f t="shared" si="8"/>
        <x:v>Yes</x:v>
      </x:c>
      <x:c r="BG108" s="2" t="str">
        <x:f t="shared" si="9"/>
        <x:v>Yes</x:v>
      </x:c>
      <x:c r="BH108" s="24"/>
      <x:c r="BI108" s="24"/>
    </x:row>
    <x:row r="109">
      <x:c r="A109" s="2" t="s">
        <x:v>59</x:v>
      </x:c>
      <x:c r="B109" s="3">
        <x:v>205</x:v>
      </x:c>
      <x:c r="C109" s="2" t="s">
        <x:v>476</x:v>
      </x:c>
      <x:c r="D109" s="2" t="s">
        <x:v>477</x:v>
      </x:c>
      <x:c r="E109" s="2" t="s">
        <x:v>79</x:v>
      </x:c>
      <x:c r="F109" s="2" t="s">
        <x:v>80</x:v>
      </x:c>
      <x:c r="G109" s="3">
        <x:v>24</x:v>
      </x:c>
      <x:c r="H109" s="3">
        <x:v>1</x:v>
      </x:c>
      <x:c r="I109" s="3">
        <x:v>30</x:v>
      </x:c>
      <x:c r="J109" s="4">
        <x:v>9.1575091575091569E-2</x:v>
      </x:c>
      <x:c r="K109" s="3">
        <x:v>0</x:v>
      </x:c>
      <x:c r="L109" s="2" t="s">
        <x:v>478</x:v>
      </x:c>
      <x:c r="M109" s="3">
        <x:v>1250</x:v>
      </x:c>
      <x:c r="N109" s="3">
        <x:v>84</x:v>
      </x:c>
      <x:c r="O109" s="5">
        <x:v>106.327928635804</x:v>
      </x:c>
      <x:c r="P109" s="5">
        <x:v>51.908059369718053</x:v>
      </x:c>
      <x:c r="Q109" s="5"/>
      <x:c r="R109" s="5">
        <x:v>91.433942667569028</x:v>
      </x:c>
      <x:c r="S109" s="5">
        <x:f t="shared" si="5"/>
        <x:v>42.027052985610155</x:v>
      </x:c>
      <x:c r="T109" s="5">
        <x:f t="shared" si="6"/>
        <x:v>42.027052985610155</x:v>
      </x:c>
      <x:c r="U109" s="5" t="e">
        <x:f>T109/[1]Model_Parameters!$B$22</x:f>
        <x:v>#NAME?</x:v>
      </x:c>
      <x:c r="V109" s="5">
        <x:v>319.03273609397172</x:v>
      </x:c>
      <x:c r="W109" s="5">
        <x:v>319.03273609397172</x:v>
      </x:c>
      <x:c r="X109" s="5">
        <x:v>92.64970243117898</x:v>
      </x:c>
      <x:c r="Y109" s="3">
        <x:v>9</x:v>
      </x:c>
      <x:c r="Z109" s="3">
        <x:v>0</x:v>
      </x:c>
      <x:c r="AA109" s="3"/>
      <x:c r="AB109" s="2"/>
      <x:c r="AC109" s="3"/>
      <x:c r="AD109" s="3"/>
      <x:c r="AE109" s="2" t="s">
        <x:v>65</x:v>
      </x:c>
      <x:c r="AF109" s="3">
        <x:v>2</x:v>
      </x:c>
      <x:c r="AG109" s="3">
        <x:v>0</x:v>
      </x:c>
      <x:c r="AH109" s="2" t="s">
        <x:v>478</x:v>
      </x:c>
      <x:c r="AI109" s="3">
        <x:v>84</x:v>
      </x:c>
      <x:c r="AJ109" s="3">
        <x:v>0</x:v>
      </x:c>
      <x:c r="AK109" s="2" t="s">
        <x:v>66</x:v>
      </x:c>
      <x:c r="AL109" s="3">
        <x:v>0</x:v>
      </x:c>
      <x:c r="AM109" s="2" t="s">
        <x:v>479</x:v>
      </x:c>
      <x:c r="AN109" s="3">
        <x:v>85</x:v>
      </x:c>
      <x:c r="AO109" s="3">
        <x:v>14</x:v>
      </x:c>
      <x:c r="AP109" s="3">
        <x:v>14</x:v>
      </x:c>
      <x:c r="AQ109" s="5">
        <x:v>45.361239035633403</x:v>
      </x:c>
      <x:c r="AR109" s="5">
        <x:v>42.02705298561014</x:v>
      </x:c>
      <x:c r="AS109" s="5">
        <x:f t="shared" si="7"/>
        <x:v>99.999999999999972</x:v>
      </x:c>
      <x:c r="AT109" s="5">
        <x:v>194.40531015271449</x:v>
      </x:c>
      <x:c r="AU109" s="5">
        <x:v>319.03273609397172</x:v>
      </x:c>
      <x:c r="AV109" s="5">
        <x:v>91.433942667569028</x:v>
      </x:c>
      <x:c r="AW109" s="2" t="b">
        <x:v>0</x:v>
      </x:c>
      <x:c r="AX109" s="2"/>
      <x:c r="AY109" s="2" t="s">
        <x:v>83</x:v>
      </x:c>
      <x:c r="AZ109" s="6">
        <x:v>84</x:v>
      </x:c>
      <x:c r="BA109" s="6"/>
      <x:c r="BB109" s="7"/>
      <x:c r="BC109" s="7"/>
      <x:c r="BD109" s="8"/>
      <x:c r="BE109" s="2" t="e">
        <x:f>IF(AE109="Blocked","No",IF(AJ109&lt;=[1]Model_Parameters!$B$20,"Yes","No"))</x:f>
        <x:v>#NAME?</x:v>
      </x:c>
      <x:c r="BF109" s="2" t="str">
        <x:f t="shared" si="8"/>
        <x:v>Yes</x:v>
      </x:c>
      <x:c r="BG109" s="2" t="str">
        <x:f t="shared" si="9"/>
        <x:v>Yes</x:v>
      </x:c>
      <x:c r="BH109" s="24" t="str">
        <x:v>18:45</x:v>
      </x:c>
      <x:c r="BI109" s="24" t="str">
        <x:v>24:00</x:v>
      </x:c>
    </x:row>
    <x:row r="110">
      <x:c r="A110" s="2" t="s">
        <x:v>59</x:v>
      </x:c>
      <x:c r="B110" s="3">
        <x:v>209</x:v>
      </x:c>
      <x:c r="C110" s="2" t="s">
        <x:v>480</x:v>
      </x:c>
      <x:c r="D110" s="2" t="s">
        <x:v>481</x:v>
      </x:c>
      <x:c r="E110" s="2" t="s">
        <x:v>62</x:v>
      </x:c>
      <x:c r="F110" s="2" t="s">
        <x:v>63</x:v>
      </x:c>
      <x:c r="G110" s="3">
        <x:v>85</x:v>
      </x:c>
      <x:c r="H110" s="3">
        <x:v>0</x:v>
      </x:c>
      <x:c r="I110" s="3">
        <x:v>120</x:v>
      </x:c>
      <x:c r="J110" s="4">
        <x:v>0.1395348837209302</x:v>
      </x:c>
      <x:c r="K110" s="3">
        <x:v>0</x:v>
      </x:c>
      <x:c r="L110" s="2" t="s">
        <x:v>463</x:v>
      </x:c>
      <x:c r="M110" s="3">
        <x:v>1261</x:v>
      </x:c>
      <x:c r="N110" s="3">
        <x:v>85</x:v>
      </x:c>
      <x:c r="O110" s="5">
        <x:v>59.345250542126408</x:v>
      </x:c>
      <x:c r="P110" s="5">
        <x:v>34.385305362251977</x:v>
      </x:c>
      <x:c r="Q110" s="5"/>
      <x:c r="R110" s="5">
        <x:v>82.045762977571627</x:v>
      </x:c>
      <x:c r="S110" s="5">
        <x:f t="shared" si="5"/>
        <x:v>28.284217981335409</x:v>
      </x:c>
      <x:c r="T110" s="5">
        <x:f t="shared" si="6"/>
        <x:v>28.284217981335409</x:v>
      </x:c>
      <x:c r="U110" s="5" t="e">
        <x:f>T110/[1]Model_Parameters!$B$22</x:f>
        <x:v>#NAME?</x:v>
      </x:c>
      <x:c r="V110" s="5">
        <x:v>202.81022797066689</x:v>
      </x:c>
      <x:c r="W110" s="5">
        <x:v>202.81022797066689</x:v>
      </x:c>
      <x:c r="X110" s="5">
        <x:v>90.469020186164045</x:v>
      </x:c>
      <x:c r="Y110" s="3">
        <x:v>8</x:v>
      </x:c>
      <x:c r="Z110" s="3">
        <x:v>0</x:v>
      </x:c>
      <x:c r="AA110" s="3"/>
      <x:c r="AB110" s="2"/>
      <x:c r="AC110" s="3"/>
      <x:c r="AD110" s="3"/>
      <x:c r="AE110" s="2" t="s">
        <x:v>65</x:v>
      </x:c>
      <x:c r="AF110" s="3">
        <x:v>5</x:v>
      </x:c>
      <x:c r="AG110" s="3">
        <x:v>0</x:v>
      </x:c>
      <x:c r="AH110" s="2" t="s">
        <x:v>463</x:v>
      </x:c>
      <x:c r="AI110" s="3">
        <x:v>85</x:v>
      </x:c>
      <x:c r="AJ110" s="3">
        <x:v>0</x:v>
      </x:c>
      <x:c r="AK110" s="2" t="s">
        <x:v>66</x:v>
      </x:c>
      <x:c r="AL110" s="3">
        <x:v>0</x:v>
      </x:c>
      <x:c r="AM110" s="2" t="s">
        <x:v>482</x:v>
      </x:c>
      <x:c r="AN110" s="3">
        <x:v>85</x:v>
      </x:c>
      <x:c r="AO110" s="3">
        <x:v>11</x:v>
      </x:c>
      <x:c r="AP110" s="3">
        <x:v>11</x:v>
      </x:c>
      <x:c r="AQ110" s="5">
        <x:v>31.263981773134169</x:v>
      </x:c>
      <x:c r="AR110" s="5">
        <x:v>28.284217981335399</x:v>
      </x:c>
      <x:c r="AS110" s="5">
        <x:f t="shared" si="7"/>
        <x:v>99.999999999999972</x:v>
      </x:c>
      <x:c r="AT110" s="5">
        <x:v>170.5308096716409</x:v>
      </x:c>
      <x:c r="AU110" s="5">
        <x:v>202.81022797066689</x:v>
      </x:c>
      <x:c r="AV110" s="5">
        <x:v>82.045762977571627</x:v>
      </x:c>
      <x:c r="AW110" s="2" t="b">
        <x:v>0</x:v>
      </x:c>
      <x:c r="AX110" s="2"/>
      <x:c r="AY110" s="2" t="s">
        <x:v>68</x:v>
      </x:c>
      <x:c r="AZ110" s="6">
        <x:v>85</x:v>
      </x:c>
      <x:c r="BA110" s="6"/>
      <x:c r="BB110" s="7"/>
      <x:c r="BC110" s="7"/>
      <x:c r="BD110" s="8"/>
      <x:c r="BE110" s="2" t="e">
        <x:f>IF(AE110="Blocked","No",IF(AJ110&lt;=[1]Model_Parameters!$B$20,"Yes","No"))</x:f>
        <x:v>#NAME?</x:v>
      </x:c>
      <x:c r="BF110" s="2" t="str">
        <x:f t="shared" si="8"/>
        <x:v>Yes</x:v>
      </x:c>
      <x:c r="BG110" s="2" t="str">
        <x:f t="shared" si="9"/>
        <x:v>Yes</x:v>
      </x:c>
      <x:c r="BH110" s="24"/>
      <x:c r="BI110" s="24"/>
    </x:row>
    <x:row r="111">
      <x:c r="A111" s="2" t="s">
        <x:v>59</x:v>
      </x:c>
      <x:c r="B111" s="3">
        <x:v>210</x:v>
      </x:c>
      <x:c r="C111" s="2" t="s">
        <x:v>483</x:v>
      </x:c>
      <x:c r="D111" s="2" t="s">
        <x:v>484</x:v>
      </x:c>
      <x:c r="E111" s="2" t="s">
        <x:v>62</x:v>
      </x:c>
      <x:c r="F111" s="2" t="s">
        <x:v>63</x:v>
      </x:c>
      <x:c r="G111" s="3">
        <x:v>86</x:v>
      </x:c>
      <x:c r="H111" s="3">
        <x:v>0</x:v>
      </x:c>
      <x:c r="I111" s="3">
        <x:v>120</x:v>
      </x:c>
      <x:c r="J111" s="4">
        <x:v>0.1395348837209302</x:v>
      </x:c>
      <x:c r="K111" s="3">
        <x:v>0</x:v>
      </x:c>
      <x:c r="L111" s="2" t="s">
        <x:v>485</x:v>
      </x:c>
      <x:c r="M111" s="3">
        <x:v>1262</x:v>
      </x:c>
      <x:c r="N111" s="3">
        <x:v>85</x:v>
      </x:c>
      <x:c r="O111" s="5">
        <x:v>151.46811835960861</x:v>
      </x:c>
      <x:c r="P111" s="5">
        <x:v>10.603193693031571</x:v>
      </x:c>
      <x:c r="Q111" s="5"/>
      <x:c r="R111" s="5">
        <x:v>92.597501533224317</x:v>
      </x:c>
      <x:c r="S111" s="5">
        <x:f t="shared" si="5"/>
        <x:v>124.19523524752499</x:v>
      </x:c>
      <x:c r="T111" s="5">
        <x:f t="shared" si="6"/>
        <x:v>124.19523524752499</x:v>
      </x:c>
      <x:c r="U111" s="5" t="e">
        <x:f>T111/[1]Model_Parameters!$B$22</x:f>
        <x:v>#NAME?</x:v>
      </x:c>
      <x:c r="V111" s="5">
        <x:v>278.24407567697932</x:v>
      </x:c>
      <x:c r="W111" s="5">
        <x:v>278.24407567697932</x:v>
      </x:c>
      <x:c r="X111" s="5">
        <x:v>91.635558298613546</x:v>
      </x:c>
      <x:c r="Y111" s="3">
        <x:v>8</x:v>
      </x:c>
      <x:c r="Z111" s="3">
        <x:v>0</x:v>
      </x:c>
      <x:c r="AA111" s="3"/>
      <x:c r="AB111" s="2"/>
      <x:c r="AC111" s="3"/>
      <x:c r="AD111" s="3"/>
      <x:c r="AE111" s="2" t="s">
        <x:v>65</x:v>
      </x:c>
      <x:c r="AF111" s="3">
        <x:v>6</x:v>
      </x:c>
      <x:c r="AG111" s="3">
        <x:v>0</x:v>
      </x:c>
      <x:c r="AH111" s="2" t="s">
        <x:v>485</x:v>
      </x:c>
      <x:c r="AI111" s="3">
        <x:v>85</x:v>
      </x:c>
      <x:c r="AJ111" s="3">
        <x:v>0</x:v>
      </x:c>
      <x:c r="AK111" s="2" t="s">
        <x:v>66</x:v>
      </x:c>
      <x:c r="AL111" s="3">
        <x:v>0</x:v>
      </x:c>
      <x:c r="AM111" s="2" t="s">
        <x:v>486</x:v>
      </x:c>
      <x:c r="AN111" s="3">
        <x:v>87</x:v>
      </x:c>
      <x:c r="AO111" s="3">
        <x:v>40</x:v>
      </x:c>
      <x:c r="AP111" s="3">
        <x:v>40</x:v>
      </x:c>
      <x:c r="AQ111" s="5">
        <x:v>135.5317057629627</x:v>
      </x:c>
      <x:c r="AR111" s="5">
        <x:v>124.19523524752501</x:v>
      </x:c>
      <x:c r="AS111" s="5">
        <x:f t="shared" si="7"/>
        <x:v>100.00000000000003</x:v>
      </x:c>
      <x:c r="AT111" s="5">
        <x:v>203.29755864444411</x:v>
      </x:c>
      <x:c r="AU111" s="5">
        <x:v>278.24407567697932</x:v>
      </x:c>
      <x:c r="AV111" s="5">
        <x:v>92.597501533224317</x:v>
      </x:c>
      <x:c r="AW111" s="2" t="b">
        <x:v>0</x:v>
      </x:c>
      <x:c r="AX111" s="2"/>
      <x:c r="AY111" s="2" t="s">
        <x:v>68</x:v>
      </x:c>
      <x:c r="AZ111" s="6">
        <x:v>85</x:v>
      </x:c>
      <x:c r="BA111" s="6"/>
      <x:c r="BB111" s="7"/>
      <x:c r="BC111" s="7"/>
      <x:c r="BD111" s="8"/>
      <x:c r="BE111" s="2" t="e">
        <x:f>IF(AE111="Blocked","No",IF(AJ111&lt;=[1]Model_Parameters!$B$20,"Yes","No"))</x:f>
        <x:v>#NAME?</x:v>
      </x:c>
      <x:c r="BF111" s="2" t="str">
        <x:f t="shared" si="8"/>
        <x:v>Yes</x:v>
      </x:c>
      <x:c r="BG111" s="2" t="str">
        <x:f t="shared" si="9"/>
        <x:v>Yes</x:v>
      </x:c>
      <x:c r="BH111" s="24"/>
      <x:c r="BI111" s="24"/>
    </x:row>
    <x:row r="112">
      <x:c r="A112" s="2" t="s">
        <x:v>59</x:v>
      </x:c>
      <x:c r="B112" s="3">
        <x:v>215</x:v>
      </x:c>
      <x:c r="C112" s="2" t="s">
        <x:v>487</x:v>
      </x:c>
      <x:c r="D112" s="2" t="s">
        <x:v>488</x:v>
      </x:c>
      <x:c r="E112" s="2" t="s">
        <x:v>62</x:v>
      </x:c>
      <x:c r="F112" s="2" t="s">
        <x:v>63</x:v>
      </x:c>
      <x:c r="G112" s="3">
        <x:v>87</x:v>
      </x:c>
      <x:c r="H112" s="3">
        <x:v>0</x:v>
      </x:c>
      <x:c r="I112" s="3">
        <x:v>120</x:v>
      </x:c>
      <x:c r="J112" s="4">
        <x:v>0.1395348837209302</x:v>
      </x:c>
      <x:c r="K112" s="3">
        <x:v>0</x:v>
      </x:c>
      <x:c r="L112" s="2" t="s">
        <x:v>489</x:v>
      </x:c>
      <x:c r="M112" s="3">
        <x:v>1270</x:v>
      </x:c>
      <x:c r="N112" s="3">
        <x:v>85</x:v>
      </x:c>
      <x:c r="O112" s="5">
        <x:v>97.442782523607576</x:v>
      </x:c>
      <x:c r="P112" s="5">
        <x:v>52.816162195797553</x:v>
      </x:c>
      <x:c r="Q112" s="5"/>
      <x:c r="R112" s="5">
        <x:v>83.620382683802575</x:v>
      </x:c>
      <x:c r="S112" s="5">
        <x:f t="shared" si="5"/>
        <x:v>30.016489578219304</x:v>
      </x:c>
      <x:c r="T112" s="5">
        <x:f t="shared" si="6"/>
        <x:v>30.016489578219304</x:v>
      </x:c>
      <x:c r="U112" s="5" t="e">
        <x:f>T112/[1]Model_Parameters!$B$22</x:f>
        <x:v>#NAME?</x:v>
      </x:c>
      <x:c r="V112" s="5">
        <x:v>345.52883090172202</x:v>
      </x:c>
      <x:c r="W112" s="5">
        <x:v>345.52883090172202</x:v>
      </x:c>
      <x:c r="X112" s="5">
        <x:v>90.191747275982777</x:v>
      </x:c>
      <x:c r="Y112" s="3">
        <x:v>8</x:v>
      </x:c>
      <x:c r="Z112" s="3">
        <x:v>0</x:v>
      </x:c>
      <x:c r="AA112" s="3"/>
      <x:c r="AB112" s="2"/>
      <x:c r="AC112" s="3"/>
      <x:c r="AD112" s="3"/>
      <x:c r="AE112" s="2" t="s">
        <x:v>65</x:v>
      </x:c>
      <x:c r="AF112" s="3">
        <x:v>4</x:v>
      </x:c>
      <x:c r="AG112" s="3">
        <x:v>0</x:v>
      </x:c>
      <x:c r="AH112" s="2" t="s">
        <x:v>489</x:v>
      </x:c>
      <x:c r="AI112" s="3">
        <x:v>85</x:v>
      </x:c>
      <x:c r="AJ112" s="3">
        <x:v>0</x:v>
      </x:c>
      <x:c r="AK112" s="2" t="s">
        <x:v>66</x:v>
      </x:c>
      <x:c r="AL112" s="3">
        <x:v>0</x:v>
      </x:c>
      <x:c r="AM112" s="2" t="s">
        <x:v>490</x:v>
      </x:c>
      <x:c r="AN112" s="3">
        <x:v>86</x:v>
      </x:c>
      <x:c r="AO112" s="3">
        <x:v>8</x:v>
      </x:c>
      <x:c r="AP112" s="3">
        <x:v>8</x:v>
      </x:c>
      <x:c r="AQ112" s="5">
        <x:v>33.280749608243177</x:v>
      </x:c>
      <x:c r="AR112" s="5">
        <x:v>30.016489578219321</x:v>
      </x:c>
      <x:c r="AS112" s="5">
        <x:f t="shared" si="7"/>
        <x:v>100.00000000000007</x:v>
      </x:c>
      <x:c r="AT112" s="5">
        <x:v>249.60562206182379</x:v>
      </x:c>
      <x:c r="AU112" s="5">
        <x:v>345.52883090172202</x:v>
      </x:c>
      <x:c r="AV112" s="5">
        <x:v>83.620382683802575</x:v>
      </x:c>
      <x:c r="AW112" s="2" t="b">
        <x:v>0</x:v>
      </x:c>
      <x:c r="AX112" s="2"/>
      <x:c r="AY112" s="2" t="s">
        <x:v>68</x:v>
      </x:c>
      <x:c r="AZ112" s="6">
        <x:v>85</x:v>
      </x:c>
      <x:c r="BA112" s="6"/>
      <x:c r="BB112" s="7"/>
      <x:c r="BC112" s="7"/>
      <x:c r="BD112" s="8"/>
      <x:c r="BE112" s="2" t="e">
        <x:f>IF(AE112="Blocked","No",IF(AJ112&lt;=[1]Model_Parameters!$B$20,"Yes","No"))</x:f>
        <x:v>#NAME?</x:v>
      </x:c>
      <x:c r="BF112" s="2" t="str">
        <x:f t="shared" si="8"/>
        <x:v>Yes</x:v>
      </x:c>
      <x:c r="BG112" s="2" t="str">
        <x:f t="shared" si="9"/>
        <x:v>Yes</x:v>
      </x:c>
      <x:c r="BH112" s="24"/>
      <x:c r="BI112" s="24"/>
    </x:row>
    <x:row r="113">
      <x:c r="A113" s="2" t="s">
        <x:v>59</x:v>
      </x:c>
      <x:c r="B113" s="3">
        <x:v>216</x:v>
      </x:c>
      <x:c r="C113" s="2" t="s">
        <x:v>491</x:v>
      </x:c>
      <x:c r="D113" s="2" t="s">
        <x:v>492</x:v>
      </x:c>
      <x:c r="E113" s="2" t="s">
        <x:v>62</x:v>
      </x:c>
      <x:c r="F113" s="2" t="s">
        <x:v>63</x:v>
      </x:c>
      <x:c r="G113" s="3">
        <x:v>88</x:v>
      </x:c>
      <x:c r="H113" s="3">
        <x:v>0</x:v>
      </x:c>
      <x:c r="I113" s="3">
        <x:v>120</x:v>
      </x:c>
      <x:c r="J113" s="4">
        <x:v>0.1395348837209302</x:v>
      </x:c>
      <x:c r="K113" s="3">
        <x:v>0</x:v>
      </x:c>
      <x:c r="L113" s="2" t="s">
        <x:v>493</x:v>
      </x:c>
      <x:c r="M113" s="3">
        <x:v>1274</x:v>
      </x:c>
      <x:c r="N113" s="3">
        <x:v>85</x:v>
      </x:c>
      <x:c r="O113" s="5">
        <x:v>62.717372484176387</x:v>
      </x:c>
      <x:c r="P113" s="5">
        <x:v>9.2794977300214949</x:v>
      </x:c>
      <x:c r="Q113" s="5"/>
      <x:c r="R113" s="5">
        <x:v>88.344503139610708</x:v>
      </x:c>
      <x:c r="S113" s="5">
        <x:f t="shared" si="5"/>
        <x:v>49.587493947366283</x:v>
      </x:c>
      <x:c r="T113" s="5">
        <x:f t="shared" si="6"/>
        <x:v>49.587493947366283</x:v>
      </x:c>
      <x:c r="U113" s="5" t="e">
        <x:f>T113/[1]Model_Parameters!$B$22</x:f>
        <x:v>#NAME?</x:v>
      </x:c>
      <x:c r="V113" s="5">
        <x:v>399.68800712348741</x:v>
      </x:c>
      <x:c r="W113" s="5">
        <x:v>399.68800712348741</x:v>
      </x:c>
      <x:c r="X113" s="5">
        <x:v>92.215843444832274</x:v>
      </x:c>
      <x:c r="Y113" s="3">
        <x:v>7</x:v>
      </x:c>
      <x:c r="Z113" s="3">
        <x:v>0</x:v>
      </x:c>
      <x:c r="AA113" s="3"/>
      <x:c r="AB113" s="2"/>
      <x:c r="AC113" s="3"/>
      <x:c r="AD113" s="3"/>
      <x:c r="AE113" s="2" t="s">
        <x:v>65</x:v>
      </x:c>
      <x:c r="AF113" s="3">
        <x:v>5</x:v>
      </x:c>
      <x:c r="AG113" s="3">
        <x:v>0</x:v>
      </x:c>
      <x:c r="AH113" s="2" t="s">
        <x:v>493</x:v>
      </x:c>
      <x:c r="AI113" s="3">
        <x:v>85</x:v>
      </x:c>
      <x:c r="AJ113" s="3">
        <x:v>0</x:v>
      </x:c>
      <x:c r="AK113" s="2" t="s">
        <x:v>66</x:v>
      </x:c>
      <x:c r="AL113" s="3">
        <x:v>0</x:v>
      </x:c>
      <x:c r="AM113" s="2" t="s">
        <x:v>494</x:v>
      </x:c>
      <x:c r="AN113" s="3">
        <x:v>86</x:v>
      </x:c>
      <x:c r="AO113" s="3">
        <x:v>9</x:v>
      </x:c>
      <x:c r="AP113" s="3">
        <x:v>9</x:v>
      </x:c>
      <x:c r="AQ113" s="5">
        <x:v>53.773291112423408</x:v>
      </x:c>
      <x:c r="AR113" s="5">
        <x:v>49.587493947366283</x:v>
      </x:c>
      <x:c r="AS113" s="5">
        <x:f t="shared" si="7"/>
        <x:v>100</x:v>
      </x:c>
      <x:c r="AT113" s="5">
        <x:v>358.48860741615613</x:v>
      </x:c>
      <x:c r="AU113" s="5">
        <x:v>399.68800712348741</x:v>
      </x:c>
      <x:c r="AV113" s="5">
        <x:v>88.344503139610708</x:v>
      </x:c>
      <x:c r="AW113" s="2" t="b">
        <x:v>0</x:v>
      </x:c>
      <x:c r="AX113" s="2"/>
      <x:c r="AY113" s="2" t="s">
        <x:v>68</x:v>
      </x:c>
      <x:c r="AZ113" s="6">
        <x:v>85</x:v>
      </x:c>
      <x:c r="BA113" s="6"/>
      <x:c r="BB113" s="7"/>
      <x:c r="BC113" s="7"/>
      <x:c r="BD113" s="8"/>
      <x:c r="BE113" s="2" t="e">
        <x:f>IF(AE113="Blocked","No",IF(AJ113&lt;=[1]Model_Parameters!$B$20,"Yes","No"))</x:f>
        <x:v>#NAME?</x:v>
      </x:c>
      <x:c r="BF113" s="2" t="str">
        <x:f t="shared" si="8"/>
        <x:v>Yes</x:v>
      </x:c>
      <x:c r="BG113" s="2" t="str">
        <x:f t="shared" si="9"/>
        <x:v>Yes</x:v>
      </x:c>
      <x:c r="BH113" s="24"/>
      <x:c r="BI113" s="24"/>
    </x:row>
    <x:row r="114">
      <x:c r="A114" s="2" t="s">
        <x:v>59</x:v>
      </x:c>
      <x:c r="B114" s="3">
        <x:v>218</x:v>
      </x:c>
      <x:c r="C114" s="2" t="s">
        <x:v>495</x:v>
      </x:c>
      <x:c r="D114" s="2" t="s">
        <x:v>496</x:v>
      </x:c>
      <x:c r="E114" s="2" t="s">
        <x:v>62</x:v>
      </x:c>
      <x:c r="F114" s="2" t="s">
        <x:v>63</x:v>
      </x:c>
      <x:c r="G114" s="3">
        <x:v>89</x:v>
      </x:c>
      <x:c r="H114" s="3">
        <x:v>0</x:v>
      </x:c>
      <x:c r="I114" s="3">
        <x:v>120</x:v>
      </x:c>
      <x:c r="J114" s="4">
        <x:v>0.1395348837209302</x:v>
      </x:c>
      <x:c r="K114" s="3">
        <x:v>0</x:v>
      </x:c>
      <x:c r="L114" s="2" t="s">
        <x:v>497</x:v>
      </x:c>
      <x:c r="M114" s="3">
        <x:v>1279</x:v>
      </x:c>
      <x:c r="N114" s="3">
        <x:v>86</x:v>
      </x:c>
      <x:c r="O114" s="5">
        <x:v>80.17889046736687</x:v>
      </x:c>
      <x:c r="P114" s="5">
        <x:v>37.417372006960491</x:v>
      </x:c>
      <x:c r="Q114" s="5"/>
      <x:c r="R114" s="5">
        <x:v>80.955476870842617</x:v>
      </x:c>
      <x:c r="S114" s="5">
        <x:f t="shared" si="5"/>
        <x:v>34.908369410379379</x:v>
      </x:c>
      <x:c r="T114" s="5">
        <x:f t="shared" si="6"/>
        <x:v>34.908369410379379</x:v>
      </x:c>
      <x:c r="U114" s="5" t="e">
        <x:f>T114/[1]Model_Parameters!$B$22</x:f>
        <x:v>#NAME?</x:v>
      </x:c>
      <x:c r="V114" s="5">
        <x:v>346.88429916138801</x:v>
      </x:c>
      <x:c r="W114" s="5">
        <x:v>346.88429916138801</x:v>
      </x:c>
      <x:c r="X114" s="5">
        <x:v>94.529332924018433</x:v>
      </x:c>
      <x:c r="Y114" s="3">
        <x:v>6</x:v>
      </x:c>
      <x:c r="Z114" s="3">
        <x:v>0</x:v>
      </x:c>
      <x:c r="AA114" s="3"/>
      <x:c r="AB114" s="2"/>
      <x:c r="AC114" s="3"/>
      <x:c r="AD114" s="3"/>
      <x:c r="AE114" s="2" t="s">
        <x:v>65</x:v>
      </x:c>
      <x:c r="AF114" s="3">
        <x:v>8</x:v>
      </x:c>
      <x:c r="AG114" s="3">
        <x:v>0</x:v>
      </x:c>
      <x:c r="AH114" s="2" t="s">
        <x:v>497</x:v>
      </x:c>
      <x:c r="AI114" s="3">
        <x:v>86</x:v>
      </x:c>
      <x:c r="AJ114" s="3">
        <x:v>0</x:v>
      </x:c>
      <x:c r="AK114" s="2" t="s">
        <x:v>66</x:v>
      </x:c>
      <x:c r="AL114" s="3">
        <x:v>0</x:v>
      </x:c>
      <x:c r="AM114" s="2" t="s">
        <x:v>498</x:v>
      </x:c>
      <x:c r="AN114" s="3">
        <x:v>86</x:v>
      </x:c>
      <x:c r="AO114" s="3">
        <x:v>7</x:v>
      </x:c>
      <x:c r="AP114" s="3">
        <x:v>7</x:v>
      </x:c>
      <x:c r="AQ114" s="5">
        <x:v>36.92861076089293</x:v>
      </x:c>
      <x:c r="AR114" s="5">
        <x:v>34.908369410379379</x:v>
      </x:c>
      <x:c r="AS114" s="5">
        <x:f t="shared" si="7"/>
        <x:v>100</x:v>
      </x:c>
      <x:c r="AT114" s="5">
        <x:v>316.53094937908219</x:v>
      </x:c>
      <x:c r="AU114" s="5">
        <x:v>346.88429916138801</x:v>
      </x:c>
      <x:c r="AV114" s="5">
        <x:v>80.955476870842617</x:v>
      </x:c>
      <x:c r="AW114" s="2" t="b">
        <x:v>0</x:v>
      </x:c>
      <x:c r="AX114" s="2"/>
      <x:c r="AY114" s="2" t="s">
        <x:v>68</x:v>
      </x:c>
      <x:c r="AZ114" s="6">
        <x:v>86</x:v>
      </x:c>
      <x:c r="BA114" s="6"/>
      <x:c r="BB114" s="7"/>
      <x:c r="BC114" s="7"/>
      <x:c r="BD114" s="8"/>
      <x:c r="BE114" s="2" t="e">
        <x:f>IF(AE114="Blocked","No",IF(AJ114&lt;=[1]Model_Parameters!$B$20,"Yes","No"))</x:f>
        <x:v>#NAME?</x:v>
      </x:c>
      <x:c r="BF114" s="2" t="str">
        <x:f t="shared" si="8"/>
        <x:v>Yes</x:v>
      </x:c>
      <x:c r="BG114" s="2" t="str">
        <x:f t="shared" si="9"/>
        <x:v>Yes</x:v>
      </x:c>
      <x:c r="BH114" s="24"/>
      <x:c r="BI114" s="24"/>
    </x:row>
    <x:row r="115">
      <x:c r="A115" s="2" t="s">
        <x:v>59</x:v>
      </x:c>
      <x:c r="B115" s="3">
        <x:v>219</x:v>
      </x:c>
      <x:c r="C115" s="2" t="s">
        <x:v>499</x:v>
      </x:c>
      <x:c r="D115" s="2" t="s">
        <x:v>500</x:v>
      </x:c>
      <x:c r="E115" s="2" t="s">
        <x:v>62</x:v>
      </x:c>
      <x:c r="F115" s="2" t="s">
        <x:v>63</x:v>
      </x:c>
      <x:c r="G115" s="3">
        <x:v>90</x:v>
      </x:c>
      <x:c r="H115" s="3">
        <x:v>0</x:v>
      </x:c>
      <x:c r="I115" s="3">
        <x:v>120</x:v>
      </x:c>
      <x:c r="J115" s="4">
        <x:v>0.1395348837209302</x:v>
      </x:c>
      <x:c r="K115" s="3">
        <x:v>0</x:v>
      </x:c>
      <x:c r="L115" s="2" t="s">
        <x:v>497</x:v>
      </x:c>
      <x:c r="M115" s="3">
        <x:v>1279</x:v>
      </x:c>
      <x:c r="N115" s="3">
        <x:v>86</x:v>
      </x:c>
      <x:c r="O115" s="5">
        <x:v>104.96643731579449</x:v>
      </x:c>
      <x:c r="P115" s="5">
        <x:v>6.6081890945656498</x:v>
      </x:c>
      <x:c r="Q115" s="5"/>
      <x:c r="R115" s="5">
        <x:v>72.28040109842172</x:v>
      </x:c>
      <x:c r="S115" s="5">
        <x:f t="shared" si="5"/>
        <x:v>68.93378124692326</x:v>
      </x:c>
      <x:c r="T115" s="5">
        <x:f t="shared" si="6"/>
        <x:v>68.93378124692326</x:v>
      </x:c>
      <x:c r="U115" s="5" t="e">
        <x:f>T115/[1]Model_Parameters!$B$22</x:f>
        <x:v>#NAME?</x:v>
      </x:c>
      <x:c r="V115" s="5">
        <x:v>332.88739472238291</x:v>
      </x:c>
      <x:c r="W115" s="5">
        <x:v>332.88739472238291</x:v>
      </x:c>
      <x:c r="X115" s="5">
        <x:v>93.121048103683265</x:v>
      </x:c>
      <x:c r="Y115" s="3">
        <x:v>7</x:v>
      </x:c>
      <x:c r="Z115" s="3">
        <x:v>0</x:v>
      </x:c>
      <x:c r="AA115" s="3"/>
      <x:c r="AB115" s="2"/>
      <x:c r="AC115" s="3"/>
      <x:c r="AD115" s="3"/>
      <x:c r="AE115" s="2" t="s">
        <x:v>65</x:v>
      </x:c>
      <x:c r="AF115" s="3">
        <x:v>10</x:v>
      </x:c>
      <x:c r="AG115" s="3">
        <x:v>0</x:v>
      </x:c>
      <x:c r="AH115" s="2" t="s">
        <x:v>497</x:v>
      </x:c>
      <x:c r="AI115" s="3">
        <x:v>86</x:v>
      </x:c>
      <x:c r="AJ115" s="3">
        <x:v>0</x:v>
      </x:c>
      <x:c r="AK115" s="2" t="s">
        <x:v>66</x:v>
      </x:c>
      <x:c r="AL115" s="3">
        <x:v>0</x:v>
      </x:c>
      <x:c r="AM115" s="2" t="s">
        <x:v>501</x:v>
      </x:c>
      <x:c r="AN115" s="3">
        <x:v>87</x:v>
      </x:c>
      <x:c r="AO115" s="3">
        <x:v>14</x:v>
      </x:c>
      <x:c r="AP115" s="3">
        <x:v>14</x:v>
      </x:c>
      <x:c r="AQ115" s="5">
        <x:v>74.025993747590391</x:v>
      </x:c>
      <x:c r="AR115" s="5">
        <x:v>68.933781246923203</x:v>
      </x:c>
      <x:c r="AS115" s="5">
        <x:f t="shared" si="7"/>
        <x:v>99.999999999999929</x:v>
      </x:c>
      <x:c r="AT115" s="5">
        <x:v>317.25425891824449</x:v>
      </x:c>
      <x:c r="AU115" s="5">
        <x:v>332.88739472238291</x:v>
      </x:c>
      <x:c r="AV115" s="5">
        <x:v>72.28040109842172</x:v>
      </x:c>
      <x:c r="AW115" s="2" t="b">
        <x:v>0</x:v>
      </x:c>
      <x:c r="AX115" s="2"/>
      <x:c r="AY115" s="2" t="s">
        <x:v>68</x:v>
      </x:c>
      <x:c r="AZ115" s="6">
        <x:v>86</x:v>
      </x:c>
      <x:c r="BA115" s="6"/>
      <x:c r="BB115" s="7"/>
      <x:c r="BC115" s="7"/>
      <x:c r="BD115" s="8"/>
      <x:c r="BE115" s="2" t="e">
        <x:f>IF(AE115="Blocked","No",IF(AJ115&lt;=[1]Model_Parameters!$B$20,"Yes","No"))</x:f>
        <x:v>#NAME?</x:v>
      </x:c>
      <x:c r="BF115" s="2" t="str">
        <x:f t="shared" si="8"/>
        <x:v>Yes</x:v>
      </x:c>
      <x:c r="BG115" s="2" t="str">
        <x:f t="shared" si="9"/>
        <x:v>Yes</x:v>
      </x:c>
      <x:c r="BH115" s="24"/>
      <x:c r="BI115" s="24"/>
    </x:row>
    <x:row r="116">
      <x:c r="A116" s="2" t="s">
        <x:v>59</x:v>
      </x:c>
      <x:c r="B116" s="3">
        <x:v>220</x:v>
      </x:c>
      <x:c r="C116" s="2" t="s">
        <x:v>502</x:v>
      </x:c>
      <x:c r="D116" s="2" t="s">
        <x:v>503</x:v>
      </x:c>
      <x:c r="E116" s="2" t="s">
        <x:v>62</x:v>
      </x:c>
      <x:c r="F116" s="2" t="s">
        <x:v>63</x:v>
      </x:c>
      <x:c r="G116" s="3">
        <x:v>91</x:v>
      </x:c>
      <x:c r="H116" s="3">
        <x:v>0</x:v>
      </x:c>
      <x:c r="I116" s="3">
        <x:v>120</x:v>
      </x:c>
      <x:c r="J116" s="4">
        <x:v>0.1395348837209302</x:v>
      </x:c>
      <x:c r="K116" s="3">
        <x:v>0</x:v>
      </x:c>
      <x:c r="L116" s="2" t="s">
        <x:v>504</x:v>
      </x:c>
      <x:c r="M116" s="3">
        <x:v>1282</x:v>
      </x:c>
      <x:c r="N116" s="3">
        <x:v>86</x:v>
      </x:c>
      <x:c r="O116" s="5">
        <x:v>140.7976841033865</x:v>
      </x:c>
      <x:c r="P116" s="5">
        <x:v>29.404702844692629</x:v>
      </x:c>
      <x:c r="Q116" s="5"/>
      <x:c r="R116" s="5">
        <x:v>95.681621143008414</x:v>
      </x:c>
      <x:c r="S116" s="5">
        <x:f t="shared" si="5"/>
        <x:v>93.316366059122231</x:v>
      </x:c>
      <x:c r="T116" s="5">
        <x:f t="shared" si="6"/>
        <x:v>93.316366059122231</x:v>
      </x:c>
      <x:c r="U116" s="5" t="e">
        <x:f>T116/[1]Model_Parameters!$B$22</x:f>
        <x:v>#NAME?</x:v>
      </x:c>
      <x:c r="V116" s="5">
        <x:v>281.27207749300129</x:v>
      </x:c>
      <x:c r="W116" s="5">
        <x:v>281.27207749300129</x:v>
      </x:c>
      <x:c r="X116" s="5">
        <x:v>91.535520327972591</x:v>
      </x:c>
      <x:c r="Y116" s="3">
        <x:v>6</x:v>
      </x:c>
      <x:c r="Z116" s="3">
        <x:v>0</x:v>
      </x:c>
      <x:c r="AA116" s="3"/>
      <x:c r="AB116" s="2"/>
      <x:c r="AC116" s="3"/>
      <x:c r="AD116" s="3"/>
      <x:c r="AE116" s="2" t="s">
        <x:v>65</x:v>
      </x:c>
      <x:c r="AF116" s="3">
        <x:v>2</x:v>
      </x:c>
      <x:c r="AG116" s="3">
        <x:v>0</x:v>
      </x:c>
      <x:c r="AH116" s="2" t="s">
        <x:v>504</x:v>
      </x:c>
      <x:c r="AI116" s="3">
        <x:v>86</x:v>
      </x:c>
      <x:c r="AJ116" s="3">
        <x:v>0</x:v>
      </x:c>
      <x:c r="AK116" s="2" t="s">
        <x:v>66</x:v>
      </x:c>
      <x:c r="AL116" s="3">
        <x:v>0</x:v>
      </x:c>
      <x:c r="AM116" s="2" t="s">
        <x:v>505</x:v>
      </x:c>
      <x:c r="AN116" s="3">
        <x:v>88</x:v>
      </x:c>
      <x:c r="AO116" s="3">
        <x:v>36</x:v>
      </x:c>
      <x:c r="AP116" s="3">
        <x:v>36</x:v>
      </x:c>
      <x:c r="AQ116" s="5">
        <x:v>101.94552423449269</x:v>
      </x:c>
      <x:c r="AR116" s="5">
        <x:v>93.316366059122274</x:v>
      </x:c>
      <x:c r="AS116" s="5">
        <x:f t="shared" si="7"/>
        <x:v>100.00000000000004</x:v>
      </x:c>
      <x:c r="AT116" s="5">
        <x:v>169.90920705748769</x:v>
      </x:c>
      <x:c r="AU116" s="5">
        <x:v>281.27207749300129</x:v>
      </x:c>
      <x:c r="AV116" s="5">
        <x:v>95.681621143008414</x:v>
      </x:c>
      <x:c r="AW116" s="2" t="b">
        <x:v>0</x:v>
      </x:c>
      <x:c r="AX116" s="2"/>
      <x:c r="AY116" s="2" t="s">
        <x:v>68</x:v>
      </x:c>
      <x:c r="AZ116" s="6">
        <x:v>86</x:v>
      </x:c>
      <x:c r="BA116" s="6"/>
      <x:c r="BB116" s="7"/>
      <x:c r="BC116" s="7"/>
      <x:c r="BD116" s="8"/>
      <x:c r="BE116" s="2" t="e">
        <x:f>IF(AE116="Blocked","No",IF(AJ116&lt;=[1]Model_Parameters!$B$20,"Yes","No"))</x:f>
        <x:v>#NAME?</x:v>
      </x:c>
      <x:c r="BF116" s="2" t="str">
        <x:f t="shared" si="8"/>
        <x:v>Yes</x:v>
      </x:c>
      <x:c r="BG116" s="2" t="str">
        <x:f t="shared" si="9"/>
        <x:v>Yes</x:v>
      </x:c>
      <x:c r="BH116" s="24"/>
      <x:c r="BI116" s="24"/>
    </x:row>
    <x:row r="117">
      <x:c r="A117" s="2" t="s">
        <x:v>59</x:v>
      </x:c>
      <x:c r="B117" s="3">
        <x:v>221</x:v>
      </x:c>
      <x:c r="C117" s="2" t="s">
        <x:v>506</x:v>
      </x:c>
      <x:c r="D117" s="2" t="s">
        <x:v>507</x:v>
      </x:c>
      <x:c r="E117" s="2" t="s">
        <x:v>62</x:v>
      </x:c>
      <x:c r="F117" s="2" t="s">
        <x:v>63</x:v>
      </x:c>
      <x:c r="G117" s="3">
        <x:v>92</x:v>
      </x:c>
      <x:c r="H117" s="3">
        <x:v>0</x:v>
      </x:c>
      <x:c r="I117" s="3">
        <x:v>120</x:v>
      </x:c>
      <x:c r="J117" s="4">
        <x:v>0.1395348837209302</x:v>
      </x:c>
      <x:c r="K117" s="3">
        <x:v>0</x:v>
      </x:c>
      <x:c r="L117" s="2" t="s">
        <x:v>508</x:v>
      </x:c>
      <x:c r="M117" s="3">
        <x:v>1284</x:v>
      </x:c>
      <x:c r="N117" s="3">
        <x:v>86</x:v>
      </x:c>
      <x:c r="O117" s="5">
        <x:v>113.2293349293104</x:v>
      </x:c>
      <x:c r="P117" s="5">
        <x:v>21.699538867248229</x:v>
      </x:c>
      <x:c r="Q117" s="5"/>
      <x:c r="R117" s="5">
        <x:v>85.886296827202585</x:v>
      </x:c>
      <x:c r="S117" s="5">
        <x:f t="shared" si="5"/>
        <x:v>72.678239150742513</x:v>
      </x:c>
      <x:c r="T117" s="5">
        <x:f t="shared" si="6"/>
        <x:v>72.678239150742513</x:v>
      </x:c>
      <x:c r="U117" s="5" t="e">
        <x:f>T117/[1]Model_Parameters!$B$22</x:f>
        <x:v>#NAME?</x:v>
      </x:c>
      <x:c r="V117" s="5">
        <x:v>136.67840363385321</x:v>
      </x:c>
      <x:c r="W117" s="5">
        <x:v>136.67840363385321</x:v>
      </x:c>
      <x:c r="X117" s="5">
        <x:v>91.962036981148458</x:v>
      </x:c>
      <x:c r="Y117" s="3">
        <x:v>6</x:v>
      </x:c>
      <x:c r="Z117" s="3">
        <x:v>0</x:v>
      </x:c>
      <x:c r="AA117" s="3"/>
      <x:c r="AB117" s="2"/>
      <x:c r="AC117" s="3"/>
      <x:c r="AD117" s="3"/>
      <x:c r="AE117" s="2" t="s">
        <x:v>65</x:v>
      </x:c>
      <x:c r="AF117" s="3">
        <x:v>3</x:v>
      </x:c>
      <x:c r="AG117" s="3">
        <x:v>0</x:v>
      </x:c>
      <x:c r="AH117" s="2" t="s">
        <x:v>508</x:v>
      </x:c>
      <x:c r="AI117" s="3">
        <x:v>86</x:v>
      </x:c>
      <x:c r="AJ117" s="3">
        <x:v>0</x:v>
      </x:c>
      <x:c r="AK117" s="2" t="s">
        <x:v>66</x:v>
      </x:c>
      <x:c r="AL117" s="3">
        <x:v>0</x:v>
      </x:c>
      <x:c r="AM117" s="2" t="s">
        <x:v>509</x:v>
      </x:c>
      <x:c r="AN117" s="3">
        <x:v>89</x:v>
      </x:c>
      <x:c r="AO117" s="3">
        <x:v>41</x:v>
      </x:c>
      <x:c r="AP117" s="3">
        <x:v>41</x:v>
      </x:c>
      <x:c r="AQ117" s="5">
        <x:v>79.030697379660126</x:v>
      </x:c>
      <x:c r="AR117" s="5">
        <x:v>72.678239150742542</x:v>
      </x:c>
      <x:c r="AS117" s="5">
        <x:f t="shared" si="7"/>
        <x:v>100.00000000000004</x:v>
      </x:c>
      <x:c r="AT117" s="5">
        <x:v>115.6546790921855</x:v>
      </x:c>
      <x:c r="AU117" s="5">
        <x:v>136.67840363385309</x:v>
      </x:c>
      <x:c r="AV117" s="5">
        <x:v>85.886296827202585</x:v>
      </x:c>
      <x:c r="AW117" s="2" t="b">
        <x:v>0</x:v>
      </x:c>
      <x:c r="AX117" s="2"/>
      <x:c r="AY117" s="2" t="s">
        <x:v>68</x:v>
      </x:c>
      <x:c r="AZ117" s="6">
        <x:v>86</x:v>
      </x:c>
      <x:c r="BA117" s="6"/>
      <x:c r="BB117" s="7"/>
      <x:c r="BC117" s="7"/>
      <x:c r="BD117" s="8"/>
      <x:c r="BE117" s="2" t="e">
        <x:f>IF(AE117="Blocked","No",IF(AJ117&lt;=[1]Model_Parameters!$B$20,"Yes","No"))</x:f>
        <x:v>#NAME?</x:v>
      </x:c>
      <x:c r="BF117" s="2" t="str">
        <x:f t="shared" si="8"/>
        <x:v>Yes</x:v>
      </x:c>
      <x:c r="BG117" s="2" t="str">
        <x:f t="shared" si="9"/>
        <x:v>Yes</x:v>
      </x:c>
      <x:c r="BH117" s="24"/>
      <x:c r="BI117" s="24"/>
    </x:row>
    <x:row r="118">
      <x:c r="A118" s="2" t="s">
        <x:v>59</x:v>
      </x:c>
      <x:c r="B118" s="3">
        <x:v>222</x:v>
      </x:c>
      <x:c r="C118" s="2" t="s">
        <x:v>510</x:v>
      </x:c>
      <x:c r="D118" s="2" t="s">
        <x:v>511</x:v>
      </x:c>
      <x:c r="E118" s="2" t="s">
        <x:v>79</x:v>
      </x:c>
      <x:c r="F118" s="2" t="s">
        <x:v>80</x:v>
      </x:c>
      <x:c r="G118" s="3">
        <x:v>25</x:v>
      </x:c>
      <x:c r="H118" s="3">
        <x:v>1</x:v>
      </x:c>
      <x:c r="I118" s="3">
        <x:v>30</x:v>
      </x:c>
      <x:c r="J118" s="4">
        <x:v>9.768009768009768E-2</x:v>
      </x:c>
      <x:c r="K118" s="3">
        <x:v>0</x:v>
      </x:c>
      <x:c r="L118" s="2" t="s">
        <x:v>512</x:v>
      </x:c>
      <x:c r="M118" s="3">
        <x:v>1285</x:v>
      </x:c>
      <x:c r="N118" s="3">
        <x:v>86</x:v>
      </x:c>
      <x:c r="O118" s="5">
        <x:v>122.20061934492971</x:v>
      </x:c>
      <x:c r="P118" s="5">
        <x:v>36.05124213479538</x:v>
      </x:c>
      <x:c r="Q118" s="5"/>
      <x:c r="R118" s="5">
        <x:v>86.035227464302636</x:v>
      </x:c>
      <x:c r="S118" s="5">
        <x:f t="shared" si="5"/>
        <x:v>61.080739645936674</x:v>
      </x:c>
      <x:c r="T118" s="5">
        <x:f t="shared" si="6"/>
        <x:v>61.080739645936674</x:v>
      </x:c>
      <x:c r="U118" s="5" t="e">
        <x:f>T118/[1]Model_Parameters!$B$22</x:f>
        <x:v>#NAME?</x:v>
      </x:c>
      <x:c r="V118" s="5">
        <x:v>244.38258550594989</x:v>
      </x:c>
      <x:c r="W118" s="5">
        <x:v>244.38258550594989</x:v>
      </x:c>
      <x:c r="X118" s="5">
        <x:v>91.302712158632346</x:v>
      </x:c>
      <x:c r="Y118" s="3">
        <x:v>6</x:v>
      </x:c>
      <x:c r="Z118" s="3">
        <x:v>0</x:v>
      </x:c>
      <x:c r="AA118" s="3"/>
      <x:c r="AB118" s="2"/>
      <x:c r="AC118" s="3"/>
      <x:c r="AD118" s="3"/>
      <x:c r="AE118" s="2" t="s">
        <x:v>65</x:v>
      </x:c>
      <x:c r="AF118" s="3">
        <x:v>4</x:v>
      </x:c>
      <x:c r="AG118" s="3">
        <x:v>0</x:v>
      </x:c>
      <x:c r="AH118" s="2" t="s">
        <x:v>512</x:v>
      </x:c>
      <x:c r="AI118" s="3">
        <x:v>86</x:v>
      </x:c>
      <x:c r="AJ118" s="3">
        <x:v>0</x:v>
      </x:c>
      <x:c r="AK118" s="2" t="s">
        <x:v>66</x:v>
      </x:c>
      <x:c r="AL118" s="3">
        <x:v>0</x:v>
      </x:c>
      <x:c r="AM118" s="2" t="s">
        <x:v>513</x:v>
      </x:c>
      <x:c r="AN118" s="3">
        <x:v>88</x:v>
      </x:c>
      <x:c r="AO118" s="3">
        <x:v>20</x:v>
      </x:c>
      <x:c r="AP118" s="3">
        <x:v>20</x:v>
      </x:c>
      <x:c r="AQ118" s="5">
        <x:v>66.899151407258287</x:v>
      </x:c>
      <x:c r="AR118" s="5">
        <x:v>61.080739645936667</x:v>
      </x:c>
      <x:c r="AS118" s="5">
        <x:f t="shared" si="7"/>
        <x:v>99.999999999999986</x:v>
      </x:c>
      <x:c r="AT118" s="5">
        <x:v>200.6974542217749</x:v>
      </x:c>
      <x:c r="AU118" s="5">
        <x:v>244.38258550594989</x:v>
      </x:c>
      <x:c r="AV118" s="5">
        <x:v>86.035227464302636</x:v>
      </x:c>
      <x:c r="AW118" s="2" t="b">
        <x:v>0</x:v>
      </x:c>
      <x:c r="AX118" s="2"/>
      <x:c r="AY118" s="2" t="s">
        <x:v>83</x:v>
      </x:c>
      <x:c r="AZ118" s="6">
        <x:v>86</x:v>
      </x:c>
      <x:c r="BA118" s="6"/>
      <x:c r="BB118" s="7"/>
      <x:c r="BC118" s="7"/>
      <x:c r="BD118" s="8"/>
      <x:c r="BE118" s="2" t="e">
        <x:f>IF(AE118="Blocked","No",IF(AJ118&lt;=[1]Model_Parameters!$B$20,"Yes","No"))</x:f>
        <x:v>#NAME?</x:v>
      </x:c>
      <x:c r="BF118" s="2" t="str">
        <x:f t="shared" si="8"/>
        <x:v>Yes</x:v>
      </x:c>
      <x:c r="BG118" s="2" t="str">
        <x:f t="shared" si="9"/>
        <x:v>Yes</x:v>
      </x:c>
      <x:c r="BH118" s="24" t="str">
        <x:v>19:15</x:v>
      </x:c>
      <x:c r="BI118" s="24" t="str">
        <x:v>24:00</x:v>
      </x:c>
    </x:row>
    <x:row r="119">
      <x:c r="A119" s="2" t="s">
        <x:v>59</x:v>
      </x:c>
      <x:c r="B119" s="3">
        <x:v>223</x:v>
      </x:c>
      <x:c r="C119" s="2" t="s">
        <x:v>514</x:v>
      </x:c>
      <x:c r="D119" s="2" t="s">
        <x:v>515</x:v>
      </x:c>
      <x:c r="E119" s="2" t="s">
        <x:v>62</x:v>
      </x:c>
      <x:c r="F119" s="2" t="s">
        <x:v>63</x:v>
      </x:c>
      <x:c r="G119" s="3">
        <x:v>93</x:v>
      </x:c>
      <x:c r="H119" s="3">
        <x:v>0</x:v>
      </x:c>
      <x:c r="I119" s="3">
        <x:v>120</x:v>
      </x:c>
      <x:c r="J119" s="4">
        <x:v>0.1395348837209302</x:v>
      </x:c>
      <x:c r="K119" s="3">
        <x:v>0</x:v>
      </x:c>
      <x:c r="L119" s="2" t="s">
        <x:v>498</x:v>
      </x:c>
      <x:c r="M119" s="3">
        <x:v>1286</x:v>
      </x:c>
      <x:c r="N119" s="3">
        <x:v>86</x:v>
      </x:c>
      <x:c r="O119" s="5">
        <x:v>74.54023059395314</x:v>
      </x:c>
      <x:c r="P119" s="5">
        <x:v>4.7027853143408747</x:v>
      </x:c>
      <x:c r="Q119" s="5"/>
      <x:c r="R119" s="5">
        <x:v>96.166847423264514</x:v>
      </x:c>
      <x:c r="S119" s="5">
        <x:f t="shared" si="5"/>
        <x:v>68.1775228065882</x:v>
      </x:c>
      <x:c r="T119" s="5">
        <x:f t="shared" si="6"/>
        <x:v>68.1775228065882</x:v>
      </x:c>
      <x:c r="U119" s="5" t="e">
        <x:f>T119/[1]Model_Parameters!$B$22</x:f>
        <x:v>#NAME?</x:v>
      </x:c>
      <x:c r="V119" s="5">
        <x:v>260.85896237532302</x:v>
      </x:c>
      <x:c r="W119" s="5">
        <x:v>260.85896237532302</x:v>
      </x:c>
      <x:c r="X119" s="5">
        <x:v>94.191428215023038</x:v>
      </x:c>
      <x:c r="Y119" s="3">
        <x:v>6</x:v>
      </x:c>
      <x:c r="Z119" s="3">
        <x:v>0</x:v>
      </x:c>
      <x:c r="AA119" s="3"/>
      <x:c r="AB119" s="2"/>
      <x:c r="AC119" s="3"/>
      <x:c r="AD119" s="3"/>
      <x:c r="AE119" s="2" t="s">
        <x:v>65</x:v>
      </x:c>
      <x:c r="AF119" s="3">
        <x:v>5</x:v>
      </x:c>
      <x:c r="AG119" s="3">
        <x:v>0</x:v>
      </x:c>
      <x:c r="AH119" s="2" t="s">
        <x:v>498</x:v>
      </x:c>
      <x:c r="AI119" s="3">
        <x:v>86</x:v>
      </x:c>
      <x:c r="AJ119" s="3">
        <x:v>0</x:v>
      </x:c>
      <x:c r="AK119" s="2" t="s">
        <x:v>66</x:v>
      </x:c>
      <x:c r="AL119" s="3">
        <x:v>0</x:v>
      </x:c>
      <x:c r="AM119" s="2" t="s">
        <x:v>516</x:v>
      </x:c>
      <x:c r="AN119" s="3">
        <x:v>88</x:v>
      </x:c>
      <x:c r="AO119" s="3">
        <x:v>25</x:v>
      </x:c>
      <x:c r="AP119" s="3">
        <x:v>25</x:v>
      </x:c>
      <x:c r="AQ119" s="5">
        <x:v>72.381876035418514</x:v>
      </x:c>
      <x:c r="AR119" s="5">
        <x:v>68.1775228065882</x:v>
      </x:c>
      <x:c r="AS119" s="5">
        <x:f t="shared" si="7"/>
        <x:v>100</x:v>
      </x:c>
      <x:c r="AT119" s="5">
        <x:v>173.71650248500441</x:v>
      </x:c>
      <x:c r="AU119" s="5">
        <x:v>260.85896237532302</x:v>
      </x:c>
      <x:c r="AV119" s="5">
        <x:v>96.166847423264514</x:v>
      </x:c>
      <x:c r="AW119" s="2" t="b">
        <x:v>0</x:v>
      </x:c>
      <x:c r="AX119" s="2"/>
      <x:c r="AY119" s="2" t="s">
        <x:v>68</x:v>
      </x:c>
      <x:c r="AZ119" s="6">
        <x:v>86</x:v>
      </x:c>
      <x:c r="BA119" s="6"/>
      <x:c r="BB119" s="7"/>
      <x:c r="BC119" s="7"/>
      <x:c r="BD119" s="8"/>
      <x:c r="BE119" s="2" t="e">
        <x:f>IF(AE119="Blocked","No",IF(AJ119&lt;=[1]Model_Parameters!$B$20,"Yes","No"))</x:f>
        <x:v>#NAME?</x:v>
      </x:c>
      <x:c r="BF119" s="2" t="str">
        <x:f t="shared" si="8"/>
        <x:v>Yes</x:v>
      </x:c>
      <x:c r="BG119" s="2" t="str">
        <x:f t="shared" si="9"/>
        <x:v>Yes</x:v>
      </x:c>
      <x:c r="BH119" s="24"/>
      <x:c r="BI119" s="24"/>
    </x:row>
    <x:row r="120">
      <x:c r="A120" s="2" t="s">
        <x:v>59</x:v>
      </x:c>
      <x:c r="B120" s="3">
        <x:v>226</x:v>
      </x:c>
      <x:c r="C120" s="2" t="s">
        <x:v>517</x:v>
      </x:c>
      <x:c r="D120" s="2" t="s">
        <x:v>518</x:v>
      </x:c>
      <x:c r="E120" s="2" t="s">
        <x:v>62</x:v>
      </x:c>
      <x:c r="F120" s="2" t="s">
        <x:v>63</x:v>
      </x:c>
      <x:c r="G120" s="3">
        <x:v>94</x:v>
      </x:c>
      <x:c r="H120" s="3">
        <x:v>0</x:v>
      </x:c>
      <x:c r="I120" s="3">
        <x:v>120</x:v>
      </x:c>
      <x:c r="J120" s="4">
        <x:v>0.1395348837209302</x:v>
      </x:c>
      <x:c r="K120" s="3">
        <x:v>0</x:v>
      </x:c>
      <x:c r="L120" s="2" t="s">
        <x:v>519</x:v>
      </x:c>
      <x:c r="M120" s="3">
        <x:v>1289</x:v>
      </x:c>
      <x:c r="N120" s="3">
        <x:v>86</x:v>
      </x:c>
      <x:c r="O120" s="5">
        <x:v>63.839163590806791</x:v>
      </x:c>
      <x:c r="P120" s="5">
        <x:v>30.155909693024292</x:v>
      </x:c>
      <x:c r="Q120" s="5"/>
      <x:c r="R120" s="5">
        <x:v>70.448634415715432</x:v>
      </x:c>
      <x:c r="S120" s="5">
        <x:f t="shared" si="5"/>
        <x:v>25.722538450912246</x:v>
      </x:c>
      <x:c r="T120" s="5">
        <x:f t="shared" si="6"/>
        <x:v>25.722538450912246</x:v>
      </x:c>
      <x:c r="U120" s="5" t="e">
        <x:f>T120/[1]Model_Parameters!$B$22</x:f>
        <x:v>#NAME?</x:v>
      </x:c>
      <x:c r="V120" s="5">
        <x:v>383.5593996442729</x:v>
      </x:c>
      <x:c r="W120" s="5">
        <x:v>383.5593996442729</x:v>
      </x:c>
      <x:c r="X120" s="5">
        <x:v>94.406263156039415</x:v>
      </x:c>
      <x:c r="Y120" s="3">
        <x:v>9</x:v>
      </x:c>
      <x:c r="Z120" s="3">
        <x:v>0</x:v>
      </x:c>
      <x:c r="AA120" s="3"/>
      <x:c r="AB120" s="2"/>
      <x:c r="AC120" s="3"/>
      <x:c r="AD120" s="3"/>
      <x:c r="AE120" s="2" t="s">
        <x:v>65</x:v>
      </x:c>
      <x:c r="AF120" s="3">
        <x:v>9</x:v>
      </x:c>
      <x:c r="AG120" s="3">
        <x:v>0</x:v>
      </x:c>
      <x:c r="AH120" s="2" t="s">
        <x:v>519</x:v>
      </x:c>
      <x:c r="AI120" s="3">
        <x:v>86</x:v>
      </x:c>
      <x:c r="AJ120" s="3">
        <x:v>0</x:v>
      </x:c>
      <x:c r="AK120" s="2" t="s">
        <x:v>66</x:v>
      </x:c>
      <x:c r="AL120" s="3">
        <x:v>0</x:v>
      </x:c>
      <x:c r="AM120" s="2" t="s">
        <x:v>520</x:v>
      </x:c>
      <x:c r="AN120" s="3">
        <x:v>87</x:v>
      </x:c>
      <x:c r="AO120" s="3">
        <x:v>5</x:v>
      </x:c>
      <x:c r="AP120" s="3">
        <x:v>5</x:v>
      </x:c>
      <x:c r="AQ120" s="5">
        <x:v>27.24664401597672</x:v>
      </x:c>
      <x:c r="AR120" s="5">
        <x:v>25.72253845091225</x:v>
      </x:c>
      <x:c r="AS120" s="5">
        <x:f t="shared" si="7"/>
        <x:v>100.00000000000003</x:v>
      </x:c>
      <x:c r="AT120" s="5">
        <x:v>326.95972819172073</x:v>
      </x:c>
      <x:c r="AU120" s="5">
        <x:v>383.5593996442729</x:v>
      </x:c>
      <x:c r="AV120" s="5">
        <x:v>70.448634415715432</x:v>
      </x:c>
      <x:c r="AW120" s="2" t="b">
        <x:v>0</x:v>
      </x:c>
      <x:c r="AX120" s="2"/>
      <x:c r="AY120" s="2" t="s">
        <x:v>68</x:v>
      </x:c>
      <x:c r="AZ120" s="6">
        <x:v>86</x:v>
      </x:c>
      <x:c r="BA120" s="6"/>
      <x:c r="BB120" s="7"/>
      <x:c r="BC120" s="7"/>
      <x:c r="BD120" s="8"/>
      <x:c r="BE120" s="2" t="e">
        <x:f>IF(AE120="Blocked","No",IF(AJ120&lt;=[1]Model_Parameters!$B$20,"Yes","No"))</x:f>
        <x:v>#NAME?</x:v>
      </x:c>
      <x:c r="BF120" s="2" t="str">
        <x:f t="shared" si="8"/>
        <x:v>Yes</x:v>
      </x:c>
      <x:c r="BG120" s="2" t="str">
        <x:f t="shared" si="9"/>
        <x:v>Yes</x:v>
      </x:c>
      <x:c r="BH120" s="24"/>
      <x:c r="BI120" s="24"/>
    </x:row>
    <x:row r="121">
      <x:c r="A121" s="2" t="s">
        <x:v>59</x:v>
      </x:c>
      <x:c r="B121" s="3">
        <x:v>227</x:v>
      </x:c>
      <x:c r="C121" s="2" t="s">
        <x:v>521</x:v>
      </x:c>
      <x:c r="D121" s="2" t="s">
        <x:v>522</x:v>
      </x:c>
      <x:c r="E121" s="2" t="s">
        <x:v>62</x:v>
      </x:c>
      <x:c r="F121" s="2" t="s">
        <x:v>63</x:v>
      </x:c>
      <x:c r="G121" s="3">
        <x:v>95</x:v>
      </x:c>
      <x:c r="H121" s="3">
        <x:v>0</x:v>
      </x:c>
      <x:c r="I121" s="3">
        <x:v>120</x:v>
      </x:c>
      <x:c r="J121" s="4">
        <x:v>0.1395348837209302</x:v>
      </x:c>
      <x:c r="K121" s="3">
        <x:v>0</x:v>
      </x:c>
      <x:c r="L121" s="2" t="s">
        <x:v>519</x:v>
      </x:c>
      <x:c r="M121" s="3">
        <x:v>1289</x:v>
      </x:c>
      <x:c r="N121" s="3">
        <x:v>86</x:v>
      </x:c>
      <x:c r="O121" s="5">
        <x:v>119.95284268674661</x:v>
      </x:c>
      <x:c r="P121" s="5">
        <x:v>2</x:v>
      </x:c>
      <x:c r="Q121" s="5"/>
      <x:c r="R121" s="5">
        <x:v>90.010147763598241</x:v>
      </x:c>
      <x:c r="S121" s="5">
        <x:f t="shared" si="5"/>
        <x:v>105.57067409524223</x:v>
      </x:c>
      <x:c r="T121" s="5">
        <x:f t="shared" si="6"/>
        <x:v>105.57067409524223</x:v>
      </x:c>
      <x:c r="U121" s="5" t="e">
        <x:f>T121/[1]Model_Parameters!$B$22</x:f>
        <x:v>#NAME?</x:v>
      </x:c>
      <x:c r="V121" s="5">
        <x:v>413.63290600683251</x:v>
      </x:c>
      <x:c r="W121" s="5">
        <x:v>413.63290600683251</x:v>
      </x:c>
      <x:c r="X121" s="5">
        <x:v>93.280194198547605</x:v>
      </x:c>
      <x:c r="Y121" s="3">
        <x:v>10</x:v>
      </x:c>
      <x:c r="Z121" s="3">
        <x:v>0</x:v>
      </x:c>
      <x:c r="AA121" s="3">
        <x:v>1</x:v>
      </x:c>
      <x:c r="AB121" s="2"/>
      <x:c r="AC121" s="3"/>
      <x:c r="AD121" s="3"/>
      <x:c r="AE121" s="2" t="s">
        <x:v>120</x:v>
      </x:c>
      <x:c r="AF121" s="3">
        <x:v>10</x:v>
      </x:c>
      <x:c r="AG121" s="3">
        <x:v>0</x:v>
      </x:c>
      <x:c r="AH121" s="2" t="s">
        <x:v>501</x:v>
      </x:c>
      <x:c r="AI121" s="3">
        <x:v>87</x:v>
      </x:c>
      <x:c r="AJ121" s="3">
        <x:v>4</x:v>
      </x:c>
      <x:c r="AK121" s="2" t="s">
        <x:v>66</x:v>
      </x:c>
      <x:c r="AL121" s="3">
        <x:v>0</x:v>
      </x:c>
      <x:c r="AM121" s="2" t="s">
        <x:v>523</x:v>
      </x:c>
      <x:c r="AN121" s="3">
        <x:v>88</x:v>
      </x:c>
      <x:c r="AO121" s="3">
        <x:v>20</x:v>
      </x:c>
      <x:c r="AP121" s="3">
        <x:v>24</x:v>
      </x:c>
      <x:c r="AQ121" s="5">
        <x:v>113.1758729731353</x:v>
      </x:c>
      <x:c r="AR121" s="5">
        <x:v>105.5706740952422</x:v>
      </x:c>
      <x:c r="AS121" s="5">
        <x:f t="shared" si="7"/>
        <x:v>99.999999999999972</x:v>
      </x:c>
      <x:c r="AT121" s="5">
        <x:v>339.527618919406</x:v>
      </x:c>
      <x:c r="AU121" s="5">
        <x:v>413.6329060068324</x:v>
      </x:c>
      <x:c r="AV121" s="5">
        <x:v>90.010147763598241</x:v>
      </x:c>
      <x:c r="AW121" s="2" t="b">
        <x:v>0</x:v>
      </x:c>
      <x:c r="AX121" s="2"/>
      <x:c r="AY121" s="2" t="s">
        <x:v>68</x:v>
      </x:c>
      <x:c r="AZ121" s="6">
        <x:v>86</x:v>
      </x:c>
      <x:c r="BA121" s="6"/>
      <x:c r="BB121" s="7"/>
      <x:c r="BC121" s="7"/>
      <x:c r="BD121" s="8"/>
      <x:c r="BE121" s="2" t="e">
        <x:f>IF(AE121="Blocked","No",IF(AJ121&lt;=[1]Model_Parameters!$B$20,"Yes","No"))</x:f>
        <x:v>#NAME?</x:v>
      </x:c>
      <x:c r="BF121" s="2" t="str">
        <x:f t="shared" si="8"/>
        <x:v>Yes</x:v>
      </x:c>
      <x:c r="BG121" s="2" t="str">
        <x:f t="shared" si="9"/>
        <x:v>Yes</x:v>
      </x:c>
      <x:c r="BH121" s="24"/>
      <x:c r="BI121" s="24"/>
    </x:row>
    <x:row r="122">
      <x:c r="A122" s="2" t="s">
        <x:v>59</x:v>
      </x:c>
      <x:c r="B122" s="3">
        <x:v>228</x:v>
      </x:c>
      <x:c r="C122" s="2" t="s">
        <x:v>524</x:v>
      </x:c>
      <x:c r="D122" s="2" t="s">
        <x:v>525</x:v>
      </x:c>
      <x:c r="E122" s="2" t="s">
        <x:v>62</x:v>
      </x:c>
      <x:c r="F122" s="2" t="s">
        <x:v>63</x:v>
      </x:c>
      <x:c r="G122" s="3">
        <x:v>96</x:v>
      </x:c>
      <x:c r="H122" s="3">
        <x:v>0</x:v>
      </x:c>
      <x:c r="I122" s="3">
        <x:v>120</x:v>
      </x:c>
      <x:c r="J122" s="4">
        <x:v>0.1395348837209302</x:v>
      </x:c>
      <x:c r="K122" s="3">
        <x:v>0</x:v>
      </x:c>
      <x:c r="L122" s="2" t="s">
        <x:v>519</x:v>
      </x:c>
      <x:c r="M122" s="3">
        <x:v>1289</x:v>
      </x:c>
      <x:c r="N122" s="3">
        <x:v>86</x:v>
      </x:c>
      <x:c r="O122" s="5">
        <x:v>89.450225987511814</x:v>
      </x:c>
      <x:c r="P122" s="5">
        <x:v>35.89095659673724</x:v>
      </x:c>
      <x:c r="Q122" s="5"/>
      <x:c r="R122" s="5">
        <x:v>95.329078607145618</x:v>
      </x:c>
      <x:c r="S122" s="5">
        <x:f t="shared" si="5"/>
        <x:v>53.167534461043296</x:v>
      </x:c>
      <x:c r="T122" s="5">
        <x:f t="shared" si="6"/>
        <x:v>53.167534461043296</x:v>
      </x:c>
      <x:c r="U122" s="5" t="e">
        <x:f>T122/[1]Model_Parameters!$B$22</x:f>
        <x:v>#NAME?</x:v>
      </x:c>
      <x:c r="V122" s="5">
        <x:v>307.53568577928269</x:v>
      </x:c>
      <x:c r="W122" s="5">
        <x:v>307.53568577928269</x:v>
      </x:c>
      <x:c r="X122" s="5">
        <x:v>91.803592984649569</x:v>
      </x:c>
      <x:c r="Y122" s="3">
        <x:v>10</x:v>
      </x:c>
      <x:c r="Z122" s="3">
        <x:v>1</x:v>
      </x:c>
      <x:c r="AA122" s="3">
        <x:v>2</x:v>
      </x:c>
      <x:c r="AB122" s="2"/>
      <x:c r="AC122" s="3"/>
      <x:c r="AD122" s="3"/>
      <x:c r="AE122" s="2" t="s">
        <x:v>120</x:v>
      </x:c>
      <x:c r="AF122" s="3">
        <x:v>9</x:v>
      </x:c>
      <x:c r="AG122" s="3">
        <x:v>0</x:v>
      </x:c>
      <x:c r="AH122" s="2" t="s">
        <x:v>520</x:v>
      </x:c>
      <x:c r="AI122" s="3">
        <x:v>87</x:v>
      </x:c>
      <x:c r="AJ122" s="3">
        <x:v>5</x:v>
      </x:c>
      <x:c r="AK122" s="2" t="s">
        <x:v>66</x:v>
      </x:c>
      <x:c r="AL122" s="3">
        <x:v>0</x:v>
      </x:c>
      <x:c r="AM122" s="2" t="s">
        <x:v>523</x:v>
      </x:c>
      <x:c r="AN122" s="3">
        <x:v>88</x:v>
      </x:c>
      <x:c r="AO122" s="3">
        <x:v>19</x:v>
      </x:c>
      <x:c r="AP122" s="3">
        <x:v>24</x:v>
      </x:c>
      <x:c r="AQ122" s="5">
        <x:v>57.914437477336463</x:v>
      </x:c>
      <x:c r="AR122" s="5">
        <x:v>53.167534461043303</x:v>
      </x:c>
      <x:c r="AS122" s="5">
        <x:f t="shared" si="7"/>
        <x:v>100.00000000000003</x:v>
      </x:c>
      <x:c r="AT122" s="5">
        <x:v>182.887697296852</x:v>
      </x:c>
      <x:c r="AU122" s="5">
        <x:v>307.53568577928269</x:v>
      </x:c>
      <x:c r="AV122" s="5">
        <x:v>95.329078607145618</x:v>
      </x:c>
      <x:c r="AW122" s="2" t="b">
        <x:v>0</x:v>
      </x:c>
      <x:c r="AX122" s="2"/>
      <x:c r="AY122" s="2" t="s">
        <x:v>68</x:v>
      </x:c>
      <x:c r="AZ122" s="6">
        <x:v>86</x:v>
      </x:c>
      <x:c r="BA122" s="6"/>
      <x:c r="BB122" s="7"/>
      <x:c r="BC122" s="7"/>
      <x:c r="BD122" s="8"/>
      <x:c r="BE122" s="2" t="e">
        <x:f>IF(AE122="Blocked","No",IF(AJ122&lt;=[1]Model_Parameters!$B$20,"Yes","No"))</x:f>
        <x:v>#NAME?</x:v>
      </x:c>
      <x:c r="BF122" s="2" t="str">
        <x:f t="shared" si="8"/>
        <x:v>Yes</x:v>
      </x:c>
      <x:c r="BG122" s="2" t="str">
        <x:f t="shared" si="9"/>
        <x:v>Yes</x:v>
      </x:c>
      <x:c r="BH122" s="24"/>
      <x:c r="BI122" s="24"/>
    </x:row>
    <x:row r="123">
      <x:c r="A123" s="2" t="s">
        <x:v>59</x:v>
      </x:c>
      <x:c r="B123" s="3">
        <x:v>229</x:v>
      </x:c>
      <x:c r="C123" s="2" t="s">
        <x:v>526</x:v>
      </x:c>
      <x:c r="D123" s="2" t="s">
        <x:v>527</x:v>
      </x:c>
      <x:c r="E123" s="2" t="s">
        <x:v>79</x:v>
      </x:c>
      <x:c r="F123" s="2" t="s">
        <x:v>80</x:v>
      </x:c>
      <x:c r="G123" s="3">
        <x:v>26</x:v>
      </x:c>
      <x:c r="H123" s="3">
        <x:v>1</x:v>
      </x:c>
      <x:c r="I123" s="3">
        <x:v>30</x:v>
      </x:c>
      <x:c r="J123" s="4">
        <x:v>9.768009768009768E-2</x:v>
      </x:c>
      <x:c r="K123" s="3">
        <x:v>0</x:v>
      </x:c>
      <x:c r="L123" s="2" t="s">
        <x:v>528</x:v>
      </x:c>
      <x:c r="M123" s="3">
        <x:v>1290</x:v>
      </x:c>
      <x:c r="N123" s="3">
        <x:v>87</x:v>
      </x:c>
      <x:c r="O123" s="5">
        <x:v>77.78689271454796</x:v>
      </x:c>
      <x:c r="P123" s="5">
        <x:v>36.450193342805193</x:v>
      </x:c>
      <x:c r="Q123" s="5"/>
      <x:c r="R123" s="5">
        <x:v>61.591809316346549</x:v>
      </x:c>
      <x:c r="S123" s="5">
        <x:f t="shared" si="5"/>
        <x:v>19.556881844042266</x:v>
      </x:c>
      <x:c r="T123" s="5">
        <x:f t="shared" si="6"/>
        <x:v>19.556881844042266</x:v>
      </x:c>
      <x:c r="U123" s="5" t="e">
        <x:f>T123/[1]Model_Parameters!$B$22</x:f>
        <x:v>#NAME?</x:v>
      </x:c>
      <x:c r="V123" s="5">
        <x:v>386.53195027258039</x:v>
      </x:c>
      <x:c r="W123" s="5">
        <x:v>386.53195027258039</x:v>
      </x:c>
      <x:c r="X123" s="5">
        <x:v>91.395566339028321</x:v>
      </x:c>
      <x:c r="Y123" s="3">
        <x:v>10</x:v>
      </x:c>
      <x:c r="Z123" s="3">
        <x:v>2</x:v>
      </x:c>
      <x:c r="AA123" s="3">
        <x:v>3</x:v>
      </x:c>
      <x:c r="AB123" s="2"/>
      <x:c r="AC123" s="3"/>
      <x:c r="AD123" s="3"/>
      <x:c r="AE123" s="2" t="s">
        <x:v>120</x:v>
      </x:c>
      <x:c r="AF123" s="3">
        <x:v>7</x:v>
      </x:c>
      <x:c r="AG123" s="3">
        <x:v>0</x:v>
      </x:c>
      <x:c r="AH123" s="2" t="s">
        <x:v>529</x:v>
      </x:c>
      <x:c r="AI123" s="3">
        <x:v>88</x:v>
      </x:c>
      <x:c r="AJ123" s="3">
        <x:v>25</x:v>
      </x:c>
      <x:c r="AK123" s="2" t="s">
        <x:v>66</x:v>
      </x:c>
      <x:c r="AL123" s="3">
        <x:v>0</x:v>
      </x:c>
      <x:c r="AM123" s="2" t="s">
        <x:v>530</x:v>
      </x:c>
      <x:c r="AN123" s="3">
        <x:v>88</x:v>
      </x:c>
      <x:c r="AO123" s="3">
        <x:v>4</x:v>
      </x:c>
      <x:c r="AP123" s="3">
        <x:v>29</x:v>
      </x:c>
      <x:c r="AQ123" s="5">
        <x:v>21.398064071835581</x:v>
      </x:c>
      <x:c r="AR123" s="5">
        <x:v>19.55688184404227</x:v>
      </x:c>
      <x:c r="AS123" s="5">
        <x:f t="shared" si="7"/>
        <x:v>100.00000000000003</x:v>
      </x:c>
      <x:c r="AT123" s="5">
        <x:v>320.97096107753367</x:v>
      </x:c>
      <x:c r="AU123" s="5">
        <x:v>386.5319502725805</x:v>
      </x:c>
      <x:c r="AV123" s="5">
        <x:v>61.591809316346549</x:v>
      </x:c>
      <x:c r="AW123" s="2" t="b">
        <x:v>0</x:v>
      </x:c>
      <x:c r="AX123" s="2"/>
      <x:c r="AY123" s="2" t="s">
        <x:v>83</x:v>
      </x:c>
      <x:c r="AZ123" s="6">
        <x:v>87</x:v>
      </x:c>
      <x:c r="BA123" s="6"/>
      <x:c r="BB123" s="7"/>
      <x:c r="BC123" s="7"/>
      <x:c r="BD123" s="8"/>
      <x:c r="BE123" s="2" t="e">
        <x:f>IF(AE123="Blocked","No",IF(AJ123&lt;=[1]Model_Parameters!$B$20,"Yes","No"))</x:f>
        <x:v>#NAME?</x:v>
      </x:c>
      <x:c r="BF123" s="2" t="str">
        <x:f t="shared" si="8"/>
        <x:v>Yes</x:v>
      </x:c>
      <x:c r="BG123" s="2" t="str">
        <x:f t="shared" si="9"/>
        <x:v>No</x:v>
      </x:c>
      <x:c r="BH123" s="24" t="str">
        <x:v>19:45</x:v>
      </x:c>
      <x:c r="BI123" s="24" t="str">
        <x:v>24:00</x:v>
      </x:c>
    </x:row>
    <x:row r="124">
      <x:c r="A124" s="2" t="s">
        <x:v>59</x:v>
      </x:c>
      <x:c r="B124" s="3">
        <x:v>230</x:v>
      </x:c>
      <x:c r="C124" s="2" t="s">
        <x:v>531</x:v>
      </x:c>
      <x:c r="D124" s="2" t="s">
        <x:v>532</x:v>
      </x:c>
      <x:c r="E124" s="2" t="s">
        <x:v>62</x:v>
      </x:c>
      <x:c r="F124" s="2" t="s">
        <x:v>63</x:v>
      </x:c>
      <x:c r="G124" s="3">
        <x:v>97</x:v>
      </x:c>
      <x:c r="H124" s="3">
        <x:v>0</x:v>
      </x:c>
      <x:c r="I124" s="3">
        <x:v>120</x:v>
      </x:c>
      <x:c r="J124" s="4">
        <x:v>0.1395348837209302</x:v>
      </x:c>
      <x:c r="K124" s="3">
        <x:v>0</x:v>
      </x:c>
      <x:c r="L124" s="2" t="s">
        <x:v>501</x:v>
      </x:c>
      <x:c r="M124" s="3">
        <x:v>1293</x:v>
      </x:c>
      <x:c r="N124" s="3">
        <x:v>87</x:v>
      </x:c>
      <x:c r="O124" s="5">
        <x:v>101.4924625308696</x:v>
      </x:c>
      <x:c r="P124" s="5">
        <x:v>37.873949612682331</x:v>
      </x:c>
      <x:c r="Q124" s="5"/>
      <x:c r="R124" s="5">
        <x:v>96.444658400218202</x:v>
      </x:c>
      <x:c r="S124" s="5">
        <x:f t="shared" si="5"/>
        <x:v>59.444854670254593</x:v>
      </x:c>
      <x:c r="T124" s="5">
        <x:f t="shared" si="6"/>
        <x:v>59.444854670254593</x:v>
      </x:c>
      <x:c r="U124" s="5" t="e">
        <x:f>T124/[1]Model_Parameters!$B$22</x:f>
        <x:v>#NAME?</x:v>
      </x:c>
      <x:c r="V124" s="5">
        <x:v>74.882231970193743</x:v>
      </x:c>
      <x:c r="W124" s="5">
        <x:v>74.882231970193743</x:v>
      </x:c>
      <x:c r="X124" s="5">
        <x:v>92.127864965218009</x:v>
      </x:c>
      <x:c r="Y124" s="3">
        <x:v>10</x:v>
      </x:c>
      <x:c r="Z124" s="3">
        <x:v>2</x:v>
      </x:c>
      <x:c r="AA124" s="3">
        <x:v>2</x:v>
      </x:c>
      <x:c r="AB124" s="2"/>
      <x:c r="AC124" s="3"/>
      <x:c r="AD124" s="3"/>
      <x:c r="AE124" s="2" t="s">
        <x:v>120</x:v>
      </x:c>
      <x:c r="AF124" s="3">
        <x:v>6</x:v>
      </x:c>
      <x:c r="AG124" s="3">
        <x:v>0</x:v>
      </x:c>
      <x:c r="AH124" s="2" t="s">
        <x:v>486</x:v>
      </x:c>
      <x:c r="AI124" s="3">
        <x:v>87</x:v>
      </x:c>
      <x:c r="AJ124" s="3">
        <x:v>9</x:v>
      </x:c>
      <x:c r="AK124" s="2" t="s">
        <x:v>66</x:v>
      </x:c>
      <x:c r="AL124" s="3">
        <x:v>0</x:v>
      </x:c>
      <x:c r="AM124" s="2" t="s">
        <x:v>533</x:v>
      </x:c>
      <x:c r="AN124" s="3">
        <x:v>92</x:v>
      </x:c>
      <x:c r="AO124" s="3">
        <x:v>63</x:v>
      </x:c>
      <x:c r="AP124" s="3">
        <x:v>72</x:v>
      </x:c>
      <x:c r="AQ124" s="5">
        <x:v>64.524294243329734</x:v>
      </x:c>
      <x:c r="AR124" s="5">
        <x:v>59.444854670254657</x:v>
      </x:c>
      <x:c r="AS124" s="5">
        <x:f t="shared" si="7"/>
        <x:v>100.00000000000011</x:v>
      </x:c>
      <x:c r="AT124" s="5">
        <x:v>61.451708803171172</x:v>
      </x:c>
      <x:c r="AU124" s="5">
        <x:v>74.882231970193743</x:v>
      </x:c>
      <x:c r="AV124" s="5">
        <x:v>96.444658400218202</x:v>
      </x:c>
      <x:c r="AW124" s="2" t="b">
        <x:v>0</x:v>
      </x:c>
      <x:c r="AX124" s="2"/>
      <x:c r="AY124" s="2" t="s">
        <x:v>68</x:v>
      </x:c>
      <x:c r="AZ124" s="6">
        <x:v>87</x:v>
      </x:c>
      <x:c r="BA124" s="6"/>
      <x:c r="BB124" s="7"/>
      <x:c r="BC124" s="7"/>
      <x:c r="BD124" s="8"/>
      <x:c r="BE124" s="2" t="e">
        <x:f>IF(AE124="Blocked","No",IF(AJ124&lt;=[1]Model_Parameters!$B$20,"Yes","No"))</x:f>
        <x:v>#NAME?</x:v>
      </x:c>
      <x:c r="BF124" s="2" t="str">
        <x:f t="shared" si="8"/>
        <x:v>Yes</x:v>
      </x:c>
      <x:c r="BG124" s="2" t="str">
        <x:f t="shared" si="9"/>
        <x:v>Yes</x:v>
      </x:c>
      <x:c r="BH124" s="24"/>
      <x:c r="BI124" s="24"/>
    </x:row>
    <x:row r="125">
      <x:c r="A125" s="2" t="s">
        <x:v>59</x:v>
      </x:c>
      <x:c r="B125" s="3">
        <x:v>232</x:v>
      </x:c>
      <x:c r="C125" s="2" t="s">
        <x:v>534</x:v>
      </x:c>
      <x:c r="D125" s="2" t="s">
        <x:v>535</x:v>
      </x:c>
      <x:c r="E125" s="2" t="s">
        <x:v>62</x:v>
      </x:c>
      <x:c r="F125" s="2" t="s">
        <x:v>63</x:v>
      </x:c>
      <x:c r="G125" s="3">
        <x:v>98</x:v>
      </x:c>
      <x:c r="H125" s="3">
        <x:v>0</x:v>
      </x:c>
      <x:c r="I125" s="3">
        <x:v>120</x:v>
      </x:c>
      <x:c r="J125" s="4">
        <x:v>0.1395348837209302</x:v>
      </x:c>
      <x:c r="K125" s="3">
        <x:v>0</x:v>
      </x:c>
      <x:c r="L125" s="2" t="s">
        <x:v>536</x:v>
      </x:c>
      <x:c r="M125" s="3">
        <x:v>1296</x:v>
      </x:c>
      <x:c r="N125" s="3">
        <x:v>87</x:v>
      </x:c>
      <x:c r="O125" s="5">
        <x:v>94.407818337600077</x:v>
      </x:c>
      <x:c r="P125" s="5">
        <x:v>17.32325284219376</x:v>
      </x:c>
      <x:c r="Q125" s="5"/>
      <x:c r="R125" s="5">
        <x:v>81.747351257911504</x:v>
      </x:c>
      <x:c r="S125" s="5">
        <x:f t="shared" si="5"/>
        <x:v>60.821385797947485</x:v>
      </x:c>
      <x:c r="T125" s="5">
        <x:f t="shared" si="6"/>
        <x:v>60.821385797947485</x:v>
      </x:c>
      <x:c r="U125" s="5" t="e">
        <x:f>T125/[1]Model_Parameters!$B$22</x:f>
        <x:v>#NAME?</x:v>
      </x:c>
      <x:c r="V125" s="5">
        <x:v>422.28694130806832</x:v>
      </x:c>
      <x:c r="W125" s="5">
        <x:v>422.28694130806832</x:v>
      </x:c>
      <x:c r="X125" s="5">
        <x:v>93.671789962427511</x:v>
      </x:c>
      <x:c r="Y125" s="3">
        <x:v>10</x:v>
      </x:c>
      <x:c r="Z125" s="3">
        <x:v>3</x:v>
      </x:c>
      <x:c r="AA125" s="3">
        <x:v>2</x:v>
      </x:c>
      <x:c r="AB125" s="2"/>
      <x:c r="AC125" s="3"/>
      <x:c r="AD125" s="3"/>
      <x:c r="AE125" s="2" t="s">
        <x:v>120</x:v>
      </x:c>
      <x:c r="AF125" s="3">
        <x:v>7</x:v>
      </x:c>
      <x:c r="AG125" s="3">
        <x:v>0</x:v>
      </x:c>
      <x:c r="AH125" s="2" t="s">
        <x:v>513</x:v>
      </x:c>
      <x:c r="AI125" s="3">
        <x:v>88</x:v>
      </x:c>
      <x:c r="AJ125" s="3">
        <x:v>9</x:v>
      </x:c>
      <x:c r="AK125" s="2" t="s">
        <x:v>66</x:v>
      </x:c>
      <x:c r="AL125" s="3">
        <x:v>0</x:v>
      </x:c>
      <x:c r="AM125" s="2" t="s">
        <x:v>529</x:v>
      </x:c>
      <x:c r="AN125" s="3">
        <x:v>88</x:v>
      </x:c>
      <x:c r="AO125" s="3">
        <x:v>10</x:v>
      </x:c>
      <x:c r="AP125" s="3">
        <x:v>19</x:v>
      </x:c>
      <x:c r="AQ125" s="5">
        <x:v>64.930312340933639</x:v>
      </x:c>
      <x:c r="AR125" s="5">
        <x:v>60.821385797947507</x:v>
      </x:c>
      <x:c r="AS125" s="5">
        <x:f t="shared" si="7"/>
        <x:v>100.00000000000004</x:v>
      </x:c>
      <x:c r="AT125" s="5">
        <x:v>389.58187404560192</x:v>
      </x:c>
      <x:c r="AU125" s="5">
        <x:v>422.28694130806832</x:v>
      </x:c>
      <x:c r="AV125" s="5">
        <x:v>81.747351257911504</x:v>
      </x:c>
      <x:c r="AW125" s="2" t="b">
        <x:v>0</x:v>
      </x:c>
      <x:c r="AX125" s="2"/>
      <x:c r="AY125" s="2" t="s">
        <x:v>68</x:v>
      </x:c>
      <x:c r="AZ125" s="6">
        <x:v>87</x:v>
      </x:c>
      <x:c r="BA125" s="6"/>
      <x:c r="BB125" s="7"/>
      <x:c r="BC125" s="7"/>
      <x:c r="BD125" s="8"/>
      <x:c r="BE125" s="2" t="e">
        <x:f>IF(AE125="Blocked","No",IF(AJ125&lt;=[1]Model_Parameters!$B$20,"Yes","No"))</x:f>
        <x:v>#NAME?</x:v>
      </x:c>
      <x:c r="BF125" s="2" t="str">
        <x:f t="shared" si="8"/>
        <x:v>Yes</x:v>
      </x:c>
      <x:c r="BG125" s="2" t="str">
        <x:f t="shared" si="9"/>
        <x:v>Yes</x:v>
      </x:c>
      <x:c r="BH125" s="24"/>
      <x:c r="BI125" s="24"/>
    </x:row>
    <x:row r="126">
      <x:c r="A126" s="2" t="s">
        <x:v>59</x:v>
      </x:c>
      <x:c r="B126" s="3">
        <x:v>233</x:v>
      </x:c>
      <x:c r="C126" s="2" t="s">
        <x:v>537</x:v>
      </x:c>
      <x:c r="D126" s="2" t="s">
        <x:v>538</x:v>
      </x:c>
      <x:c r="E126" s="2" t="s">
        <x:v>62</x:v>
      </x:c>
      <x:c r="F126" s="2" t="s">
        <x:v>63</x:v>
      </x:c>
      <x:c r="G126" s="3">
        <x:v>99</x:v>
      </x:c>
      <x:c r="H126" s="3">
        <x:v>0</x:v>
      </x:c>
      <x:c r="I126" s="3">
        <x:v>120</x:v>
      </x:c>
      <x:c r="J126" s="4">
        <x:v>0.1395348837209302</x:v>
      </x:c>
      <x:c r="K126" s="3">
        <x:v>0</x:v>
      </x:c>
      <x:c r="L126" s="2" t="s">
        <x:v>536</x:v>
      </x:c>
      <x:c r="M126" s="3">
        <x:v>1296</x:v>
      </x:c>
      <x:c r="N126" s="3">
        <x:v>87</x:v>
      </x:c>
      <x:c r="O126" s="5">
        <x:v>82.937473282645598</x:v>
      </x:c>
      <x:c r="P126" s="5">
        <x:v>26.99818335939759</x:v>
      </x:c>
      <x:c r="Q126" s="5"/>
      <x:c r="R126" s="5">
        <x:v>94.121406803933638</x:v>
      </x:c>
      <x:c r="S126" s="5">
        <x:f t="shared" si="5"/>
        <x:v>55.670305510762589</x:v>
      </x:c>
      <x:c r="T126" s="5">
        <x:f t="shared" si="6"/>
        <x:v>55.670305510762589</x:v>
      </x:c>
      <x:c r="U126" s="5" t="e">
        <x:f>T126/[1]Model_Parameters!$B$22</x:f>
        <x:v>#NAME?</x:v>
      </x:c>
      <x:c r="V126" s="5">
        <x:v>186.42339724111741</x:v>
      </x:c>
      <x:c r="W126" s="5">
        <x:v>186.42339724111741</x:v>
      </x:c>
      <x:c r="X126" s="5">
        <x:v>92.662933082869074</x:v>
      </x:c>
      <x:c r="Y126" s="3">
        <x:v>10</x:v>
      </x:c>
      <x:c r="Z126" s="3">
        <x:v>4</x:v>
      </x:c>
      <x:c r="AA126" s="3">
        <x:v>3</x:v>
      </x:c>
      <x:c r="AB126" s="2"/>
      <x:c r="AC126" s="3"/>
      <x:c r="AD126" s="3"/>
      <x:c r="AE126" s="2" t="s">
        <x:v>120</x:v>
      </x:c>
      <x:c r="AF126" s="3">
        <x:v>4</x:v>
      </x:c>
      <x:c r="AG126" s="3">
        <x:v>0</x:v>
      </x:c>
      <x:c r="AH126" s="2" t="s">
        <x:v>513</x:v>
      </x:c>
      <x:c r="AI126" s="3">
        <x:v>88</x:v>
      </x:c>
      <x:c r="AJ126" s="3">
        <x:v>9</x:v>
      </x:c>
      <x:c r="AK126" s="2" t="s">
        <x:v>66</x:v>
      </x:c>
      <x:c r="AL126" s="3">
        <x:v>0</x:v>
      </x:c>
      <x:c r="AM126" s="2" t="s">
        <x:v>539</x:v>
      </x:c>
      <x:c r="AN126" s="3">
        <x:v>89</x:v>
      </x:c>
      <x:c r="AO126" s="3">
        <x:v>29</x:v>
      </x:c>
      <x:c r="AP126" s="3">
        <x:v>38</x:v>
      </x:c>
      <x:c r="AQ126" s="5">
        <x:v>60.078289838911452</x:v>
      </x:c>
      <x:c r="AR126" s="5">
        <x:v>55.670305510762617</x:v>
      </x:c>
      <x:c r="AS126" s="5">
        <x:f t="shared" si="7"/>
        <x:v>100.00000000000004</x:v>
      </x:c>
      <x:c r="AT126" s="5">
        <x:v>124.2999100115409</x:v>
      </x:c>
      <x:c r="AU126" s="5">
        <x:v>186.42339724111741</x:v>
      </x:c>
      <x:c r="AV126" s="5">
        <x:v>94.121406803933638</x:v>
      </x:c>
      <x:c r="AW126" s="2" t="b">
        <x:v>0</x:v>
      </x:c>
      <x:c r="AX126" s="2"/>
      <x:c r="AY126" s="2" t="s">
        <x:v>68</x:v>
      </x:c>
      <x:c r="AZ126" s="6">
        <x:v>87</x:v>
      </x:c>
      <x:c r="BA126" s="6"/>
      <x:c r="BB126" s="7"/>
      <x:c r="BC126" s="7"/>
      <x:c r="BD126" s="8"/>
      <x:c r="BE126" s="2" t="e">
        <x:f>IF(AE126="Blocked","No",IF(AJ126&lt;=[1]Model_Parameters!$B$20,"Yes","No"))</x:f>
        <x:v>#NAME?</x:v>
      </x:c>
      <x:c r="BF126" s="2" t="str">
        <x:f t="shared" si="8"/>
        <x:v>Yes</x:v>
      </x:c>
      <x:c r="BG126" s="2" t="str">
        <x:f t="shared" si="9"/>
        <x:v>Yes</x:v>
      </x:c>
      <x:c r="BH126" s="24"/>
      <x:c r="BI126" s="24"/>
    </x:row>
    <x:row r="127">
      <x:c r="A127" s="2" t="s">
        <x:v>59</x:v>
      </x:c>
      <x:c r="B127" s="3">
        <x:v>234</x:v>
      </x:c>
      <x:c r="C127" s="2" t="s">
        <x:v>540</x:v>
      </x:c>
      <x:c r="D127" s="2" t="s">
        <x:v>541</x:v>
      </x:c>
      <x:c r="E127" s="2" t="s">
        <x:v>62</x:v>
      </x:c>
      <x:c r="F127" s="2" t="s">
        <x:v>63</x:v>
      </x:c>
      <x:c r="G127" s="3">
        <x:v>100</x:v>
      </x:c>
      <x:c r="H127" s="3">
        <x:v>0</x:v>
      </x:c>
      <x:c r="I127" s="3">
        <x:v>120</x:v>
      </x:c>
      <x:c r="J127" s="4">
        <x:v>0.1395348837209302</x:v>
      </x:c>
      <x:c r="K127" s="3">
        <x:v>0</x:v>
      </x:c>
      <x:c r="L127" s="2" t="s">
        <x:v>542</x:v>
      </x:c>
      <x:c r="M127" s="3">
        <x:v>1297</x:v>
      </x:c>
      <x:c r="N127" s="3">
        <x:v>87</x:v>
      </x:c>
      <x:c r="O127" s="5">
        <x:v>101.48900560040769</x:v>
      </x:c>
      <x:c r="P127" s="5">
        <x:v>61.676335624397822</x:v>
      </x:c>
      <x:c r="Q127" s="5"/>
      <x:c r="R127" s="5">
        <x:v>74.073861459602313</x:v>
      </x:c>
      <x:c r="S127" s="5">
        <x:f t="shared" si="5"/>
        <x:v>12.582125689202677</x:v>
      </x:c>
      <x:c r="T127" s="5">
        <x:f t="shared" si="6"/>
        <x:v>12.582125689202677</x:v>
      </x:c>
      <x:c r="U127" s="5" t="e">
        <x:f>T127/[1]Model_Parameters!$B$22</x:f>
        <x:v>#NAME?</x:v>
      </x:c>
      <x:c r="V127" s="5">
        <x:v>143.38865246916731</x:v>
      </x:c>
      <x:c r="W127" s="5">
        <x:v>143.38865246916731</x:v>
      </x:c>
      <x:c r="X127" s="5">
        <x:v>90.627893606468817</x:v>
      </x:c>
      <x:c r="Y127" s="3">
        <x:v>10</x:v>
      </x:c>
      <x:c r="Z127" s="3">
        <x:v>5</x:v>
      </x:c>
      <x:c r="AA127" s="3">
        <x:v>4</x:v>
      </x:c>
      <x:c r="AB127" s="2"/>
      <x:c r="AC127" s="3"/>
      <x:c r="AD127" s="3"/>
      <x:c r="AE127" s="2" t="s">
        <x:v>120</x:v>
      </x:c>
      <x:c r="AF127" s="3">
        <x:v>5</x:v>
      </x:c>
      <x:c r="AG127" s="3">
        <x:v>0</x:v>
      </x:c>
      <x:c r="AH127" s="2" t="s">
        <x:v>516</x:v>
      </x:c>
      <x:c r="AI127" s="3">
        <x:v>88</x:v>
      </x:c>
      <x:c r="AJ127" s="3">
        <x:v>14</x:v>
      </x:c>
      <x:c r="AK127" s="2" t="s">
        <x:v>66</x:v>
      </x:c>
      <x:c r="AL127" s="3">
        <x:v>0</x:v>
      </x:c>
      <x:c r="AM127" s="2" t="s">
        <x:v>505</x:v>
      </x:c>
      <x:c r="AN127" s="3">
        <x:v>88</x:v>
      </x:c>
      <x:c r="AO127" s="3">
        <x:v>7</x:v>
      </x:c>
      <x:c r="AP127" s="3">
        <x:v>21</x:v>
      </x:c>
      <x:c r="AQ127" s="5">
        <x:v>13.88328161287485</x:v>
      </x:c>
      <x:c r="AR127" s="5">
        <x:v>12.58212568920267</x:v>
      </x:c>
      <x:c r="AS127" s="5">
        <x:f t="shared" si="7"/>
        <x:v>99.999999999999943</x:v>
      </x:c>
      <x:c r="AT127" s="5">
        <x:v>118.9995566817845</x:v>
      </x:c>
      <x:c r="AU127" s="5">
        <x:v>143.38865246916731</x:v>
      </x:c>
      <x:c r="AV127" s="5">
        <x:v>74.073861459602313</x:v>
      </x:c>
      <x:c r="AW127" s="2" t="b">
        <x:v>0</x:v>
      </x:c>
      <x:c r="AX127" s="2"/>
      <x:c r="AY127" s="2" t="s">
        <x:v>68</x:v>
      </x:c>
      <x:c r="AZ127" s="6">
        <x:v>87</x:v>
      </x:c>
      <x:c r="BA127" s="6"/>
      <x:c r="BB127" s="7"/>
      <x:c r="BC127" s="7"/>
      <x:c r="BD127" s="8"/>
      <x:c r="BE127" s="2" t="e">
        <x:f>IF(AE127="Blocked","No",IF(AJ127&lt;=[1]Model_Parameters!$B$20,"Yes","No"))</x:f>
        <x:v>#NAME?</x:v>
      </x:c>
      <x:c r="BF127" s="2" t="str">
        <x:f t="shared" si="8"/>
        <x:v>Yes</x:v>
      </x:c>
      <x:c r="BG127" s="2" t="str">
        <x:f t="shared" si="9"/>
        <x:v>Yes</x:v>
      </x:c>
      <x:c r="BH127" s="24"/>
      <x:c r="BI127" s="24"/>
    </x:row>
    <x:row r="128">
      <x:c r="A128" s="2" t="s">
        <x:v>59</x:v>
      </x:c>
      <x:c r="B128" s="3">
        <x:v>237</x:v>
      </x:c>
      <x:c r="C128" s="2" t="s">
        <x:v>543</x:v>
      </x:c>
      <x:c r="D128" s="2" t="s">
        <x:v>544</x:v>
      </x:c>
      <x:c r="E128" s="2" t="s">
        <x:v>62</x:v>
      </x:c>
      <x:c r="F128" s="2" t="s">
        <x:v>63</x:v>
      </x:c>
      <x:c r="G128" s="3">
        <x:v>101</x:v>
      </x:c>
      <x:c r="H128" s="3">
        <x:v>0</x:v>
      </x:c>
      <x:c r="I128" s="3">
        <x:v>120</x:v>
      </x:c>
      <x:c r="J128" s="4">
        <x:v>0.1395348837209302</x:v>
      </x:c>
      <x:c r="K128" s="3">
        <x:v>0</x:v>
      </x:c>
      <x:c r="L128" s="2" t="s">
        <x:v>486</x:v>
      </x:c>
      <x:c r="M128" s="3">
        <x:v>1302</x:v>
      </x:c>
      <x:c r="N128" s="3">
        <x:v>87</x:v>
      </x:c>
      <x:c r="O128" s="5">
        <x:v>97.253380572806847</x:v>
      </x:c>
      <x:c r="P128" s="5">
        <x:v>18.796550810317409</x:v>
      </x:c>
      <x:c r="Q128" s="5"/>
      <x:c r="R128" s="5">
        <x:v>78.646313442801542</x:v>
      </x:c>
      <x:c r="S128" s="5">
        <x:f t="shared" si="5"/>
        <x:v>58.205917424891332</x:v>
      </x:c>
      <x:c r="T128" s="5">
        <x:f t="shared" si="6"/>
        <x:v>58.205917424891332</x:v>
      </x:c>
      <x:c r="U128" s="5" t="e">
        <x:f>T128/[1]Model_Parameters!$B$22</x:f>
        <x:v>#NAME?</x:v>
      </x:c>
      <x:c r="V128" s="5">
        <x:v>160.5087772667361</x:v>
      </x:c>
      <x:c r="W128" s="5">
        <x:v>160.5087772667361</x:v>
      </x:c>
      <x:c r="X128" s="5">
        <x:v>90.973164163869498</x:v>
      </x:c>
      <x:c r="Y128" s="3">
        <x:v>10</x:v>
      </x:c>
      <x:c r="Z128" s="3">
        <x:v>7</x:v>
      </x:c>
      <x:c r="AA128" s="3">
        <x:v>4</x:v>
      </x:c>
      <x:c r="AB128" s="2"/>
      <x:c r="AC128" s="3"/>
      <x:c r="AD128" s="3"/>
      <x:c r="AE128" s="2" t="s">
        <x:v>120</x:v>
      </x:c>
      <x:c r="AF128" s="3">
        <x:v>8</x:v>
      </x:c>
      <x:c r="AG128" s="3">
        <x:v>0</x:v>
      </x:c>
      <x:c r="AH128" s="2" t="s">
        <x:v>545</x:v>
      </x:c>
      <x:c r="AI128" s="3">
        <x:v>88</x:v>
      </x:c>
      <x:c r="AJ128" s="3">
        <x:v>10</x:v>
      </x:c>
      <x:c r="AK128" s="2" t="s">
        <x:v>66</x:v>
      </x:c>
      <x:c r="AL128" s="3">
        <x:v>0</x:v>
      </x:c>
      <x:c r="AM128" s="2" t="s">
        <x:v>546</x:v>
      </x:c>
      <x:c r="AN128" s="3">
        <x:v>90</x:v>
      </x:c>
      <x:c r="AO128" s="3">
        <x:v>26</x:v>
      </x:c>
      <x:c r="AP128" s="3">
        <x:v>36</x:v>
      </x:c>
      <x:c r="AQ128" s="5">
        <x:v>63.981414695047143</x:v>
      </x:c>
      <x:c r="AR128" s="5">
        <x:v>58.205917424891332</x:v>
      </x:c>
      <x:c r="AS128" s="5">
        <x:f t="shared" si="7"/>
        <x:v>100</x:v>
      </x:c>
      <x:c r="AT128" s="5">
        <x:v>147.64941852703191</x:v>
      </x:c>
      <x:c r="AU128" s="5">
        <x:v>160.5087772667361</x:v>
      </x:c>
      <x:c r="AV128" s="5">
        <x:v>78.646313442801542</x:v>
      </x:c>
      <x:c r="AW128" s="2" t="b">
        <x:v>0</x:v>
      </x:c>
      <x:c r="AX128" s="2"/>
      <x:c r="AY128" s="2" t="s">
        <x:v>68</x:v>
      </x:c>
      <x:c r="AZ128" s="6">
        <x:v>87</x:v>
      </x:c>
      <x:c r="BA128" s="6"/>
      <x:c r="BB128" s="7"/>
      <x:c r="BC128" s="7"/>
      <x:c r="BD128" s="8"/>
      <x:c r="BE128" s="2" t="e">
        <x:f>IF(AE128="Blocked","No",IF(AJ128&lt;=[1]Model_Parameters!$B$20,"Yes","No"))</x:f>
        <x:v>#NAME?</x:v>
      </x:c>
      <x:c r="BF128" s="2" t="str">
        <x:f t="shared" si="8"/>
        <x:v>Yes</x:v>
      </x:c>
      <x:c r="BG128" s="2" t="str">
        <x:f t="shared" si="9"/>
        <x:v>Yes</x:v>
      </x:c>
      <x:c r="BH128" s="24"/>
      <x:c r="BI128" s="24"/>
    </x:row>
    <x:row r="129">
      <x:c r="A129" s="2" t="s">
        <x:v>59</x:v>
      </x:c>
      <x:c r="B129" s="3">
        <x:v>238</x:v>
      </x:c>
      <x:c r="C129" s="2" t="s">
        <x:v>547</x:v>
      </x:c>
      <x:c r="D129" s="2" t="s">
        <x:v>548</x:v>
      </x:c>
      <x:c r="E129" s="2" t="s">
        <x:v>62</x:v>
      </x:c>
      <x:c r="F129" s="2" t="s">
        <x:v>63</x:v>
      </x:c>
      <x:c r="G129" s="3">
        <x:v>102</x:v>
      </x:c>
      <x:c r="H129" s="3">
        <x:v>0</x:v>
      </x:c>
      <x:c r="I129" s="3">
        <x:v>120</x:v>
      </x:c>
      <x:c r="J129" s="4">
        <x:v>0.1395348837209302</x:v>
      </x:c>
      <x:c r="K129" s="3">
        <x:v>0</x:v>
      </x:c>
      <x:c r="L129" s="2" t="s">
        <x:v>549</x:v>
      </x:c>
      <x:c r="M129" s="3">
        <x:v>1303</x:v>
      </x:c>
      <x:c r="N129" s="3">
        <x:v>87</x:v>
      </x:c>
      <x:c r="O129" s="5">
        <x:v>67.235216457784347</x:v>
      </x:c>
      <x:c r="P129" s="5">
        <x:v>21.796967267309721</x:v>
      </x:c>
      <x:c r="Q129" s="5"/>
      <x:c r="R129" s="5">
        <x:v>90.046519847986303</x:v>
      </x:c>
      <x:c r="S129" s="5">
        <x:f t="shared" si="5"/>
        <x:v>45.887734409087244</x:v>
      </x:c>
      <x:c r="T129" s="5">
        <x:f t="shared" si="6"/>
        <x:v>45.887734409087244</x:v>
      </x:c>
      <x:c r="U129" s="5" t="e">
        <x:f>T129/[1]Model_Parameters!$B$22</x:f>
        <x:v>#NAME?</x:v>
      </x:c>
      <x:c r="V129" s="5">
        <x:v>395.01578224545199</x:v>
      </x:c>
      <x:c r="W129" s="5">
        <x:v>395.01578224545199</x:v>
      </x:c>
      <x:c r="X129" s="5">
        <x:v>92.973212421966167</x:v>
      </x:c>
      <x:c r="Y129" s="3">
        <x:v>10</x:v>
      </x:c>
      <x:c r="Z129" s="3">
        <x:v>8</x:v>
      </x:c>
      <x:c r="AA129" s="3">
        <x:v>5</x:v>
      </x:c>
      <x:c r="AB129" s="2"/>
      <x:c r="AC129" s="3"/>
      <x:c r="AD129" s="3"/>
      <x:c r="AE129" s="2" t="s">
        <x:v>120</x:v>
      </x:c>
      <x:c r="AF129" s="3">
        <x:v>9</x:v>
      </x:c>
      <x:c r="AG129" s="3">
        <x:v>0</x:v>
      </x:c>
      <x:c r="AH129" s="2" t="s">
        <x:v>523</x:v>
      </x:c>
      <x:c r="AI129" s="3">
        <x:v>88</x:v>
      </x:c>
      <x:c r="AJ129" s="3">
        <x:v>10</x:v>
      </x:c>
      <x:c r="AK129" s="2" t="s">
        <x:v>66</x:v>
      </x:c>
      <x:c r="AL129" s="3">
        <x:v>0</x:v>
      </x:c>
      <x:c r="AM129" s="2" t="s">
        <x:v>550</x:v>
      </x:c>
      <x:c r="AN129" s="3">
        <x:v>89</x:v>
      </x:c>
      <x:c r="AO129" s="3">
        <x:v>10</x:v>
      </x:c>
      <x:c r="AP129" s="3">
        <x:v>20</x:v>
      </x:c>
      <x:c r="AQ129" s="5">
        <x:v>49.355866290628093</x:v>
      </x:c>
      <x:c r="AR129" s="5">
        <x:v>45.887734409087237</x:v>
      </x:c>
      <x:c r="AS129" s="5">
        <x:f t="shared" si="7"/>
        <x:v>99.999999999999986</x:v>
      </x:c>
      <x:c r="AT129" s="5">
        <x:v>296.13519774376857</x:v>
      </x:c>
      <x:c r="AU129" s="5">
        <x:v>395.01578224545199</x:v>
      </x:c>
      <x:c r="AV129" s="5">
        <x:v>90.046519847986303</x:v>
      </x:c>
      <x:c r="AW129" s="2" t="b">
        <x:v>0</x:v>
      </x:c>
      <x:c r="AX129" s="2"/>
      <x:c r="AY129" s="2" t="s">
        <x:v>68</x:v>
      </x:c>
      <x:c r="AZ129" s="6">
        <x:v>87</x:v>
      </x:c>
      <x:c r="BA129" s="6"/>
      <x:c r="BB129" s="7"/>
      <x:c r="BC129" s="7"/>
      <x:c r="BD129" s="8"/>
      <x:c r="BE129" s="2" t="e">
        <x:f>IF(AE129="Blocked","No",IF(AJ129&lt;=[1]Model_Parameters!$B$20,"Yes","No"))</x:f>
        <x:v>#NAME?</x:v>
      </x:c>
      <x:c r="BF129" s="2" t="str">
        <x:f t="shared" si="8"/>
        <x:v>Yes</x:v>
      </x:c>
      <x:c r="BG129" s="2" t="str">
        <x:f t="shared" si="9"/>
        <x:v>Yes</x:v>
      </x:c>
      <x:c r="BH129" s="24"/>
      <x:c r="BI129" s="24"/>
    </x:row>
    <x:row r="130">
      <x:c r="A130" s="2" t="s">
        <x:v>59</x:v>
      </x:c>
      <x:c r="B130" s="3">
        <x:v>240</x:v>
      </x:c>
      <x:c r="C130" s="2" t="s">
        <x:v>551</x:v>
      </x:c>
      <x:c r="D130" s="2" t="s">
        <x:v>552</x:v>
      </x:c>
      <x:c r="E130" s="2" t="s">
        <x:v>62</x:v>
      </x:c>
      <x:c r="F130" s="2" t="s">
        <x:v>63</x:v>
      </x:c>
      <x:c r="G130" s="3">
        <x:v>103</x:v>
      </x:c>
      <x:c r="H130" s="3">
        <x:v>0</x:v>
      </x:c>
      <x:c r="I130" s="3">
        <x:v>120</x:v>
      </x:c>
      <x:c r="J130" s="4">
        <x:v>0.1395348837209302</x:v>
      </x:c>
      <x:c r="K130" s="3">
        <x:v>0</x:v>
      </x:c>
      <x:c r="L130" s="2" t="s">
        <x:v>513</x:v>
      </x:c>
      <x:c r="M130" s="3">
        <x:v>1305</x:v>
      </x:c>
      <x:c r="N130" s="3">
        <x:v>88</x:v>
      </x:c>
      <x:c r="O130" s="5">
        <x:v>68.569296659072123</x:v>
      </x:c>
      <x:c r="P130" s="5">
        <x:v>27.057980580840731</x:v>
      </x:c>
      <x:c r="Q130" s="5"/>
      <x:c r="R130" s="5">
        <x:v>91.132716383093154</x:v>
      </x:c>
      <x:c r="S130" s="5" t="n">
        <x:f t="shared" ref="S130:S193" si="10">O130*(R130-P130)/100</x:f>
        <x:v>43.93559567576316</x:v>
      </x:c>
      <x:c r="T130" s="5" t="n">
        <x:f t="shared" ref="T130:T193" si="11">O130*(R130-IF(Q130="",P130,Q130))/100</x:f>
        <x:v>43.93559567576316</x:v>
      </x:c>
      <x:c r="U130" s="5" t="e">
        <x:f>T130/[1]Model_Parameters!$B$22</x:f>
        <x:v>#NAME?</x:v>
      </x:c>
      <x:c r="V130" s="5">
        <x:v>281.40658353790371</x:v>
      </x:c>
      <x:c r="W130" s="5">
        <x:v>281.40658353790371</x:v>
      </x:c>
      <x:c r="X130" s="5">
        <x:v>90.781937552467511</x:v>
      </x:c>
      <x:c r="Y130" s="3">
        <x:v>10</x:v>
      </x:c>
      <x:c r="Z130" s="3">
        <x:v>8</x:v>
      </x:c>
      <x:c r="AA130" s="3">
        <x:v>4</x:v>
      </x:c>
      <x:c r="AB130" s="2"/>
      <x:c r="AC130" s="3"/>
      <x:c r="AD130" s="3"/>
      <x:c r="AE130" s="2" t="s">
        <x:v>120</x:v>
      </x:c>
      <x:c r="AF130" s="3">
        <x:v>10</x:v>
      </x:c>
      <x:c r="AG130" s="3">
        <x:v>0</x:v>
      </x:c>
      <x:c r="AH130" s="2" t="s">
        <x:v>523</x:v>
      </x:c>
      <x:c r="AI130" s="3">
        <x:v>88</x:v>
      </x:c>
      <x:c r="AJ130" s="3">
        <x:v>8</x:v>
      </x:c>
      <x:c r="AK130" s="2" t="s">
        <x:v>66</x:v>
      </x:c>
      <x:c r="AL130" s="3">
        <x:v>0</x:v>
      </x:c>
      <x:c r="AM130" s="2" t="s">
        <x:v>553</x:v>
      </x:c>
      <x:c r="AN130" s="3">
        <x:v>89</x:v>
      </x:c>
      <x:c r="AO130" s="3">
        <x:v>14</x:v>
      </x:c>
      <x:c r="AP130" s="3">
        <x:v>22</x:v>
      </x:c>
      <x:c r="AQ130" s="5">
        <x:v>48.396847280738562</x:v>
      </x:c>
      <x:c r="AR130" s="5">
        <x:v>43.935595675763153</x:v>
      </x:c>
      <x:c r="AS130" s="5" t="n">
        <x:f t="shared" ref="AS130:AS193" si="12">IF(S130=0,100,IFERROR(AR130/S130*100,0))</x:f>
        <x:v>99.99999999999999</x:v>
      </x:c>
      <x:c r="AT130" s="5">
        <x:v>207.4150597745938</x:v>
      </x:c>
      <x:c r="AU130" s="5">
        <x:v>281.40658353790371</x:v>
      </x:c>
      <x:c r="AV130" s="5">
        <x:v>91.132716383093154</x:v>
      </x:c>
      <x:c r="AW130" s="2" t="b">
        <x:v>0</x:v>
      </x:c>
      <x:c r="AX130" s="2"/>
      <x:c r="AY130" s="2" t="s">
        <x:v>68</x:v>
      </x:c>
      <x:c r="AZ130" s="6">
        <x:v>88</x:v>
      </x:c>
      <x:c r="BA130" s="6"/>
      <x:c r="BB130" s="7"/>
      <x:c r="BC130" s="7"/>
      <x:c r="BD130" s="8"/>
      <x:c r="BE130" s="2" t="e">
        <x:f>IF(AE130="Blocked","No",IF(AJ130&lt;=[1]Model_Parameters!$B$20,"Yes","No"))</x:f>
        <x:v>#NAME?</x:v>
      </x:c>
      <x:c r="BF130" s="2" t="str">
        <x:f t="shared" ref="BF130:BF193" si="13">IF(AK130="Completed","Yes","No")</x:f>
        <x:v>Yes</x:v>
      </x:c>
      <x:c r="BG130" s="2" t="e">
        <x:f t="shared" ref="BG130:BG193" si="14">IF(AND(BE130="Yes",BF130="Yes"),"Yes","No")</x:f>
        <x:v>#NAME?</x:v>
      </x:c>
      <x:c r="BH130" s="24"/>
      <x:c r="BI130" s="24"/>
    </x:row>
    <x:row r="131">
      <x:c r="A131" s="2" t="s">
        <x:v>59</x:v>
      </x:c>
      <x:c r="B131" s="3">
        <x:v>241</x:v>
      </x:c>
      <x:c r="C131" s="2" t="s">
        <x:v>554</x:v>
      </x:c>
      <x:c r="D131" s="2" t="s">
        <x:v>555</x:v>
      </x:c>
      <x:c r="E131" s="2" t="s">
        <x:v>62</x:v>
      </x:c>
      <x:c r="F131" s="2" t="s">
        <x:v>63</x:v>
      </x:c>
      <x:c r="G131" s="3">
        <x:v>104</x:v>
      </x:c>
      <x:c r="H131" s="3">
        <x:v>0</x:v>
      </x:c>
      <x:c r="I131" s="3">
        <x:v>120</x:v>
      </x:c>
      <x:c r="J131" s="4">
        <x:v>0.1395348837209302</x:v>
      </x:c>
      <x:c r="K131" s="3">
        <x:v>0</x:v>
      </x:c>
      <x:c r="L131" s="2" t="s">
        <x:v>556</x:v>
      </x:c>
      <x:c r="M131" s="3">
        <x:v>1306</x:v>
      </x:c>
      <x:c r="N131" s="3">
        <x:v>88</x:v>
      </x:c>
      <x:c r="O131" s="5">
        <x:v>78.294398793554166</x:v>
      </x:c>
      <x:c r="P131" s="5">
        <x:v>11.890437002163781</x:v>
      </x:c>
      <x:c r="Q131" s="5"/>
      <x:c r="R131" s="5">
        <x:v>74.799918776535748</x:v>
      </x:c>
      <x:c r="S131" s="5">
        <x:f t="shared" si="10"/>
        <x:v>49.254600539385066</x:v>
      </x:c>
      <x:c r="T131" s="5">
        <x:f t="shared" si="11"/>
        <x:v>49.254600539385066</x:v>
      </x:c>
      <x:c r="U131" s="5" t="e">
        <x:f>T131/[1]Model_Parameters!$B$22</x:f>
        <x:v>#NAME?</x:v>
      </x:c>
      <x:c r="V131" s="5">
        <x:v>418.47131813112873</x:v>
      </x:c>
      <x:c r="W131" s="5">
        <x:v>418.47131813112873</x:v>
      </x:c>
      <x:c r="X131" s="5">
        <x:v>94.422612161940876</x:v>
      </x:c>
      <x:c r="Y131" s="3">
        <x:v>10</x:v>
      </x:c>
      <x:c r="Z131" s="3">
        <x:v>9</x:v>
      </x:c>
      <x:c r="AA131" s="3">
        <x:v>5</x:v>
      </x:c>
      <x:c r="AB131" s="2"/>
      <x:c r="AC131" s="3"/>
      <x:c r="AD131" s="3"/>
      <x:c r="AE131" s="2" t="s">
        <x:v>120</x:v>
      </x:c>
      <x:c r="AF131" s="3">
        <x:v>1</x:v>
      </x:c>
      <x:c r="AG131" s="3">
        <x:v>0</x:v>
      </x:c>
      <x:c r="AH131" s="2" t="s">
        <x:v>557</x:v>
      </x:c>
      <x:c r="AI131" s="3">
        <x:v>88</x:v>
      </x:c>
      <x:c r="AJ131" s="3">
        <x:v>8</x:v>
      </x:c>
      <x:c r="AK131" s="2" t="s">
        <x:v>66</x:v>
      </x:c>
      <x:c r="AL131" s="3">
        <x:v>0</x:v>
      </x:c>
      <x:c r="AM131" s="2" t="s">
        <x:v>558</x:v>
      </x:c>
      <x:c r="AN131" s="3">
        <x:v>89</x:v>
      </x:c>
      <x:c r="AO131" s="3">
        <x:v>8</x:v>
      </x:c>
      <x:c r="AP131" s="3">
        <x:v>16</x:v>
      </x:c>
      <x:c r="AQ131" s="5">
        <x:v>52.163988489229929</x:v>
      </x:c>
      <x:c r="AR131" s="5">
        <x:v>49.254600539385059</x:v>
      </x:c>
      <x:c r="AS131" s="5">
        <x:f t="shared" si="12"/>
        <x:v>99.999999999999986</x:v>
      </x:c>
      <x:c r="AT131" s="5">
        <x:v>391.22991366922452</x:v>
      </x:c>
      <x:c r="AU131" s="5">
        <x:v>418.47131813112873</x:v>
      </x:c>
      <x:c r="AV131" s="5">
        <x:v>74.799918776535748</x:v>
      </x:c>
      <x:c r="AW131" s="2" t="b">
        <x:v>0</x:v>
      </x:c>
      <x:c r="AX131" s="2"/>
      <x:c r="AY131" s="2" t="s">
        <x:v>68</x:v>
      </x:c>
      <x:c r="AZ131" s="6">
        <x:v>88</x:v>
      </x:c>
      <x:c r="BA131" s="6"/>
      <x:c r="BB131" s="7"/>
      <x:c r="BC131" s="7"/>
      <x:c r="BD131" s="8"/>
      <x:c r="BE131" s="2" t="e">
        <x:f>IF(AE131="Blocked","No",IF(AJ131&lt;=[1]Model_Parameters!$B$20,"Yes","No"))</x:f>
        <x:v>#NAME?</x:v>
      </x:c>
      <x:c r="BF131" s="2" t="str">
        <x:f t="shared" si="13"/>
        <x:v>Yes</x:v>
      </x:c>
      <x:c r="BG131" s="2" t="str">
        <x:f t="shared" si="14"/>
        <x:v>Yes</x:v>
      </x:c>
      <x:c r="BH131" s="24"/>
      <x:c r="BI131" s="24"/>
    </x:row>
    <x:row r="132">
      <x:c r="A132" s="2" t="s">
        <x:v>59</x:v>
      </x:c>
      <x:c r="B132" s="3">
        <x:v>242</x:v>
      </x:c>
      <x:c r="C132" s="2" t="s">
        <x:v>559</x:v>
      </x:c>
      <x:c r="D132" s="2" t="s">
        <x:v>560</x:v>
      </x:c>
      <x:c r="E132" s="2" t="s">
        <x:v>62</x:v>
      </x:c>
      <x:c r="F132" s="2" t="s">
        <x:v>63</x:v>
      </x:c>
      <x:c r="G132" s="3">
        <x:v>105</x:v>
      </x:c>
      <x:c r="H132" s="3">
        <x:v>0</x:v>
      </x:c>
      <x:c r="I132" s="3">
        <x:v>120</x:v>
      </x:c>
      <x:c r="J132" s="4">
        <x:v>0.1395348837209302</x:v>
      </x:c>
      <x:c r="K132" s="3">
        <x:v>0</x:v>
      </x:c>
      <x:c r="L132" s="2" t="s">
        <x:v>561</x:v>
      </x:c>
      <x:c r="M132" s="3">
        <x:v>1317</x:v>
      </x:c>
      <x:c r="N132" s="3">
        <x:v>88</x:v>
      </x:c>
      <x:c r="O132" s="5">
        <x:v>89.310761554166604</x:v>
      </x:c>
      <x:c r="P132" s="5">
        <x:v>10.114067183391731</x:v>
      </x:c>
      <x:c r="Q132" s="5"/>
      <x:c r="R132" s="5">
        <x:v>86.403672705597742</x:v>
      </x:c>
      <x:c r="S132" s="5">
        <x:f t="shared" si="10"/>
        <x:v>68.134827678551744</x:v>
      </x:c>
      <x:c r="T132" s="5">
        <x:f t="shared" si="11"/>
        <x:v>68.134827678551744</x:v>
      </x:c>
      <x:c r="U132" s="5" t="e">
        <x:f>T132/[1]Model_Parameters!$B$22</x:f>
        <x:v>#NAME?</x:v>
      </x:c>
      <x:c r="V132" s="5">
        <x:v>337.77134236681502</x:v>
      </x:c>
      <x:c r="W132" s="5">
        <x:v>337.77134236681502</x:v>
      </x:c>
      <x:c r="X132" s="5">
        <x:v>91.733096738595023</x:v>
      </x:c>
      <x:c r="Y132" s="3">
        <x:v>10</x:v>
      </x:c>
      <x:c r="Z132" s="3">
        <x:v>4</x:v>
      </x:c>
      <x:c r="AA132" s="3">
        <x:v>1</x:v>
      </x:c>
      <x:c r="AB132" s="2"/>
      <x:c r="AC132" s="3"/>
      <x:c r="AD132" s="3"/>
      <x:c r="AE132" s="2" t="s">
        <x:v>120</x:v>
      </x:c>
      <x:c r="AF132" s="3">
        <x:v>2</x:v>
      </x:c>
      <x:c r="AG132" s="3">
        <x:v>0</x:v>
      </x:c>
      <x:c r="AH132" s="2" t="s">
        <x:v>505</x:v>
      </x:c>
      <x:c r="AI132" s="3">
        <x:v>88</x:v>
      </x:c>
      <x:c r="AJ132" s="3">
        <x:v>1</x:v>
      </x:c>
      <x:c r="AK132" s="2" t="s">
        <x:v>66</x:v>
      </x:c>
      <x:c r="AL132" s="3">
        <x:v>0</x:v>
      </x:c>
      <x:c r="AM132" s="2" t="s">
        <x:v>562</x:v>
      </x:c>
      <x:c r="AN132" s="3">
        <x:v>89</x:v>
      </x:c>
      <x:c r="AO132" s="3">
        <x:v>15</x:v>
      </x:c>
      <x:c r="AP132" s="3">
        <x:v>16</x:v>
      </x:c>
      <x:c r="AQ132" s="5">
        <x:v>74.275076391142093</x:v>
      </x:c>
      <x:c r="AR132" s="5">
        <x:v>68.13482767855173</x:v>
      </x:c>
      <x:c r="AS132" s="5">
        <x:f t="shared" si="12"/>
        <x:v>99.999999999999972</x:v>
      </x:c>
      <x:c r="AT132" s="5">
        <x:v>297.10030556456837</x:v>
      </x:c>
      <x:c r="AU132" s="5">
        <x:v>337.77134236681502</x:v>
      </x:c>
      <x:c r="AV132" s="5">
        <x:v>86.403672705597742</x:v>
      </x:c>
      <x:c r="AW132" s="2" t="b">
        <x:v>0</x:v>
      </x:c>
      <x:c r="AX132" s="2"/>
      <x:c r="AY132" s="2" t="s">
        <x:v>68</x:v>
      </x:c>
      <x:c r="AZ132" s="6">
        <x:v>88</x:v>
      </x:c>
      <x:c r="BA132" s="6"/>
      <x:c r="BB132" s="7"/>
      <x:c r="BC132" s="7"/>
      <x:c r="BD132" s="8"/>
      <x:c r="BE132" s="2" t="e">
        <x:f>IF(AE132="Blocked","No",IF(AJ132&lt;=[1]Model_Parameters!$B$20,"Yes","No"))</x:f>
        <x:v>#NAME?</x:v>
      </x:c>
      <x:c r="BF132" s="2" t="str">
        <x:f t="shared" si="13"/>
        <x:v>Yes</x:v>
      </x:c>
      <x:c r="BG132" s="2" t="str">
        <x:f t="shared" si="14"/>
        <x:v>Yes</x:v>
      </x:c>
      <x:c r="BH132" s="24"/>
      <x:c r="BI132" s="24"/>
    </x:row>
    <x:row r="133">
      <x:c r="A133" s="2" t="s">
        <x:v>59</x:v>
      </x:c>
      <x:c r="B133" s="3">
        <x:v>245</x:v>
      </x:c>
      <x:c r="C133" s="2" t="s">
        <x:v>563</x:v>
      </x:c>
      <x:c r="D133" s="2" t="s">
        <x:v>564</x:v>
      </x:c>
      <x:c r="E133" s="2" t="s">
        <x:v>62</x:v>
      </x:c>
      <x:c r="F133" s="2" t="s">
        <x:v>63</x:v>
      </x:c>
      <x:c r="G133" s="3">
        <x:v>106</x:v>
      </x:c>
      <x:c r="H133" s="3">
        <x:v>0</x:v>
      </x:c>
      <x:c r="I133" s="3">
        <x:v>120</x:v>
      </x:c>
      <x:c r="J133" s="4">
        <x:v>0.1395348837209302</x:v>
      </x:c>
      <x:c r="K133" s="3">
        <x:v>0</x:v>
      </x:c>
      <x:c r="L133" s="2" t="s">
        <x:v>530</x:v>
      </x:c>
      <x:c r="M133" s="3">
        <x:v>1319</x:v>
      </x:c>
      <x:c r="N133" s="3">
        <x:v>88</x:v>
      </x:c>
      <x:c r="O133" s="5">
        <x:v>114.5359373656345</x:v>
      </x:c>
      <x:c r="P133" s="5">
        <x:v>23.920185319004581</x:v>
      </x:c>
      <x:c r="Q133" s="5"/>
      <x:c r="R133" s="5">
        <x:v>66.75520359166363</x:v>
      </x:c>
      <x:c r="S133" s="5">
        <x:f t="shared" si="10"/>
        <x:v>49.061489699330856</x:v>
      </x:c>
      <x:c r="T133" s="5">
        <x:f t="shared" si="11"/>
        <x:v>49.061489699330856</x:v>
      </x:c>
      <x:c r="U133" s="5" t="e">
        <x:f>T133/[1]Model_Parameters!$B$22</x:f>
        <x:v>#NAME?</x:v>
      </x:c>
      <x:c r="V133" s="5">
        <x:v>126.9080979888364</x:v>
      </x:c>
      <x:c r="W133" s="5">
        <x:v>126.9080979888364</x:v>
      </x:c>
      <x:c r="X133" s="5">
        <x:v>94.766979205325356</x:v>
      </x:c>
      <x:c r="Y133" s="3">
        <x:v>10</x:v>
      </x:c>
      <x:c r="Z133" s="3">
        <x:v>4</x:v>
      </x:c>
      <x:c r="AA133" s="3">
        <x:v>1</x:v>
      </x:c>
      <x:c r="AB133" s="2"/>
      <x:c r="AC133" s="3"/>
      <x:c r="AD133" s="3"/>
      <x:c r="AE133" s="2" t="s">
        <x:v>120</x:v>
      </x:c>
      <x:c r="AF133" s="3">
        <x:v>1</x:v>
      </x:c>
      <x:c r="AG133" s="3">
        <x:v>0</x:v>
      </x:c>
      <x:c r="AH133" s="2" t="s">
        <x:v>558</x:v>
      </x:c>
      <x:c r="AI133" s="3">
        <x:v>89</x:v>
      </x:c>
      <x:c r="AJ133" s="3">
        <x:v>3</x:v>
      </x:c>
      <x:c r="AK133" s="2" t="s">
        <x:v>66</x:v>
      </x:c>
      <x:c r="AL133" s="3">
        <x:v>0</x:v>
      </x:c>
      <x:c r="AM133" s="2" t="s">
        <x:v>565</x:v>
      </x:c>
      <x:c r="AN133" s="3">
        <x:v>90</x:v>
      </x:c>
      <x:c r="AO133" s="3">
        <x:v>25</x:v>
      </x:c>
      <x:c r="AP133" s="3">
        <x:v>28</x:v>
      </x:c>
      <x:c r="AQ133" s="5">
        <x:v>51.770659053120852</x:v>
      </x:c>
      <x:c r="AR133" s="5">
        <x:v>49.061489699330913</x:v>
      </x:c>
      <x:c r="AS133" s="5">
        <x:f t="shared" si="12"/>
        <x:v>100.00000000000011</x:v>
      </x:c>
      <x:c r="AT133" s="5">
        <x:v>124.24958172749</x:v>
      </x:c>
      <x:c r="AU133" s="5">
        <x:v>126.9080979888364</x:v>
      </x:c>
      <x:c r="AV133" s="5">
        <x:v>66.75520359166363</x:v>
      </x:c>
      <x:c r="AW133" s="2" t="b">
        <x:v>0</x:v>
      </x:c>
      <x:c r="AX133" s="2"/>
      <x:c r="AY133" s="2" t="s">
        <x:v>68</x:v>
      </x:c>
      <x:c r="AZ133" s="6">
        <x:v>88</x:v>
      </x:c>
      <x:c r="BA133" s="6"/>
      <x:c r="BB133" s="7"/>
      <x:c r="BC133" s="7"/>
      <x:c r="BD133" s="8"/>
      <x:c r="BE133" s="2" t="e">
        <x:f>IF(AE133="Blocked","No",IF(AJ133&lt;=[1]Model_Parameters!$B$20,"Yes","No"))</x:f>
        <x:v>#NAME?</x:v>
      </x:c>
      <x:c r="BF133" s="2" t="str">
        <x:f t="shared" si="13"/>
        <x:v>Yes</x:v>
      </x:c>
      <x:c r="BG133" s="2" t="str">
        <x:f t="shared" si="14"/>
        <x:v>Yes</x:v>
      </x:c>
      <x:c r="BH133" s="24"/>
      <x:c r="BI133" s="24"/>
    </x:row>
    <x:row r="134">
      <x:c r="A134" s="2" t="s">
        <x:v>59</x:v>
      </x:c>
      <x:c r="B134" s="3">
        <x:v>246</x:v>
      </x:c>
      <x:c r="C134" s="2" t="s">
        <x:v>566</x:v>
      </x:c>
      <x:c r="D134" s="2" t="s">
        <x:v>567</x:v>
      </x:c>
      <x:c r="E134" s="2" t="s">
        <x:v>62</x:v>
      </x:c>
      <x:c r="F134" s="2" t="s">
        <x:v>63</x:v>
      </x:c>
      <x:c r="G134" s="3">
        <x:v>107</x:v>
      </x:c>
      <x:c r="H134" s="3">
        <x:v>0</x:v>
      </x:c>
      <x:c r="I134" s="3">
        <x:v>120</x:v>
      </x:c>
      <x:c r="J134" s="4">
        <x:v>9.3023255813953487E-2</x:v>
      </x:c>
      <x:c r="K134" s="3">
        <x:v>0</x:v>
      </x:c>
      <x:c r="L134" s="2" t="s">
        <x:v>568</x:v>
      </x:c>
      <x:c r="M134" s="3">
        <x:v>1320</x:v>
      </x:c>
      <x:c r="N134" s="3">
        <x:v>89</x:v>
      </x:c>
      <x:c r="O134" s="5">
        <x:v>136.52868582907999</x:v>
      </x:c>
      <x:c r="P134" s="5">
        <x:v>9.7648064348755366</x:v>
      </x:c>
      <x:c r="Q134" s="5"/>
      <x:c r="R134" s="5">
        <x:v>87.250783022009344</x:v>
      </x:c>
      <x:c r="S134" s="5">
        <x:f t="shared" si="10"/>
        <x:v>105.7905855362424</x:v>
      </x:c>
      <x:c r="T134" s="5">
        <x:f t="shared" si="11"/>
        <x:v>105.7905855362424</x:v>
      </x:c>
      <x:c r="U134" s="5" t="e">
        <x:f>T134/[1]Model_Parameters!$B$22</x:f>
        <x:v>#NAME?</x:v>
      </x:c>
      <x:c r="V134" s="5">
        <x:v>349.18381792907519</x:v>
      </x:c>
      <x:c r="W134" s="5">
        <x:v>349.18381792907519</x:v>
      </x:c>
      <x:c r="X134" s="5">
        <x:v>91.952219928359213</x:v>
      </x:c>
      <x:c r="Y134" s="3">
        <x:v>10</x:v>
      </x:c>
      <x:c r="Z134" s="3">
        <x:v>5</x:v>
      </x:c>
      <x:c r="AA134" s="3">
        <x:v>2</x:v>
      </x:c>
      <x:c r="AB134" s="2"/>
      <x:c r="AC134" s="3"/>
      <x:c r="AD134" s="3"/>
      <x:c r="AE134" s="2" t="s">
        <x:v>120</x:v>
      </x:c>
      <x:c r="AF134" s="3">
        <x:v>9</x:v>
      </x:c>
      <x:c r="AG134" s="3">
        <x:v>0</x:v>
      </x:c>
      <x:c r="AH134" s="2" t="s">
        <x:v>550</x:v>
      </x:c>
      <x:c r="AI134" s="3">
        <x:v>89</x:v>
      </x:c>
      <x:c r="AJ134" s="3">
        <x:v>3</x:v>
      </x:c>
      <x:c r="AK134" s="2" t="s">
        <x:v>66</x:v>
      </x:c>
      <x:c r="AL134" s="3">
        <x:v>0</x:v>
      </x:c>
      <x:c r="AM134" s="2" t="s">
        <x:v>569</x:v>
      </x:c>
      <x:c r="AN134" s="3">
        <x:v>90</x:v>
      </x:c>
      <x:c r="AO134" s="3">
        <x:v>23</x:v>
      </x:c>
      <x:c r="AP134" s="3">
        <x:v>26</x:v>
      </x:c>
      <x:c r="AQ134" s="5">
        <x:v>115.0495176937161</x:v>
      </x:c>
      <x:c r="AR134" s="5">
        <x:v>105.7905855362424</x:v>
      </x:c>
      <x:c r="AS134" s="5">
        <x:f t="shared" si="12"/>
        <x:v>100</x:v>
      </x:c>
      <x:c r="AT134" s="5">
        <x:v>300.12917659230288</x:v>
      </x:c>
      <x:c r="AU134" s="5">
        <x:v>349.18381792907519</x:v>
      </x:c>
      <x:c r="AV134" s="5">
        <x:v>87.250783022009344</x:v>
      </x:c>
      <x:c r="AW134" s="2" t="b">
        <x:v>0</x:v>
      </x:c>
      <x:c r="AX134" s="2"/>
      <x:c r="AY134" s="2" t="s">
        <x:v>68</x:v>
      </x:c>
      <x:c r="AZ134" s="6">
        <x:v>89</x:v>
      </x:c>
      <x:c r="BA134" s="6"/>
      <x:c r="BB134" s="7"/>
      <x:c r="BC134" s="7"/>
      <x:c r="BD134" s="8"/>
      <x:c r="BE134" s="2" t="e">
        <x:f>IF(AE134="Blocked","No",IF(AJ134&lt;=[1]Model_Parameters!$B$20,"Yes","No"))</x:f>
        <x:v>#NAME?</x:v>
      </x:c>
      <x:c r="BF134" s="2" t="str">
        <x:f t="shared" si="13"/>
        <x:v>Yes</x:v>
      </x:c>
      <x:c r="BG134" s="2" t="str">
        <x:f t="shared" si="14"/>
        <x:v>Yes</x:v>
      </x:c>
      <x:c r="BH134" s="24"/>
      <x:c r="BI134" s="24"/>
    </x:row>
    <x:row r="135">
      <x:c r="A135" s="2" t="s">
        <x:v>59</x:v>
      </x:c>
      <x:c r="B135" s="3">
        <x:v>247</x:v>
      </x:c>
      <x:c r="C135" s="2" t="s">
        <x:v>570</x:v>
      </x:c>
      <x:c r="D135" s="2" t="s">
        <x:v>571</x:v>
      </x:c>
      <x:c r="E135" s="2" t="s">
        <x:v>62</x:v>
      </x:c>
      <x:c r="F135" s="2" t="s">
        <x:v>63</x:v>
      </x:c>
      <x:c r="G135" s="3">
        <x:v>108</x:v>
      </x:c>
      <x:c r="H135" s="3">
        <x:v>0</x:v>
      </x:c>
      <x:c r="I135" s="3">
        <x:v>120</x:v>
      </x:c>
      <x:c r="J135" s="4">
        <x:v>9.3023255813953487E-2</x:v>
      </x:c>
      <x:c r="K135" s="3">
        <x:v>0</x:v>
      </x:c>
      <x:c r="L135" s="2" t="s">
        <x:v>553</x:v>
      </x:c>
      <x:c r="M135" s="3">
        <x:v>1327</x:v>
      </x:c>
      <x:c r="N135" s="3">
        <x:v>89</x:v>
      </x:c>
      <x:c r="O135" s="5">
        <x:v>90.413338527526548</x:v>
      </x:c>
      <x:c r="P135" s="5">
        <x:v>45.629944403052711</x:v>
      </x:c>
      <x:c r="Q135" s="5"/>
      <x:c r="R135" s="5">
        <x:v>56.225245819981772</x:v>
      </x:c>
      <x:c r="S135" s="5">
        <x:f t="shared" si="10"/>
        <x:v>9.5795657380998893</x:v>
      </x:c>
      <x:c r="T135" s="5">
        <x:f t="shared" si="11"/>
        <x:v>9.5795657380998893</x:v>
      </x:c>
      <x:c r="U135" s="5" t="e">
        <x:f>T135/[1]Model_Parameters!$B$22</x:f>
        <x:v>#NAME?</x:v>
      </x:c>
      <x:c r="V135" s="5">
        <x:v>269.1181061710584</x:v>
      </x:c>
      <x:c r="W135" s="5">
        <x:v>269.1181061710584</x:v>
      </x:c>
      <x:c r="X135" s="5">
        <x:v>90.717501624905665</x:v>
      </x:c>
      <x:c r="Y135" s="3">
        <x:v>10</x:v>
      </x:c>
      <x:c r="Z135" s="3">
        <x:v>1</x:v>
      </x:c>
      <x:c r="AA135" s="3">
        <x:v>1</x:v>
      </x:c>
      <x:c r="AB135" s="2"/>
      <x:c r="AC135" s="3"/>
      <x:c r="AD135" s="3"/>
      <x:c r="AE135" s="2" t="s">
        <x:v>120</x:v>
      </x:c>
      <x:c r="AF135" s="3">
        <x:v>5</x:v>
      </x:c>
      <x:c r="AG135" s="3">
        <x:v>0</x:v>
      </x:c>
      <x:c r="AH135" s="2" t="s">
        <x:v>572</x:v>
      </x:c>
      <x:c r="AI135" s="3">
        <x:v>89</x:v>
      </x:c>
      <x:c r="AJ135" s="3">
        <x:v>4</x:v>
      </x:c>
      <x:c r="AK135" s="2" t="s">
        <x:v>66</x:v>
      </x:c>
      <x:c r="AL135" s="3">
        <x:v>0</x:v>
      </x:c>
      <x:c r="AM135" s="2" t="s">
        <x:v>539</x:v>
      </x:c>
      <x:c r="AN135" s="3">
        <x:v>89</x:v>
      </x:c>
      <x:c r="AO135" s="3">
        <x:v>3</x:v>
      </x:c>
      <x:c r="AP135" s="3">
        <x:v>7</x:v>
      </x:c>
      <x:c r="AQ135" s="5">
        <x:v>10.559776852882271</x:v>
      </x:c>
      <x:c r="AR135" s="5">
        <x:v>9.5795657380998911</x:v>
      </x:c>
      <x:c r="AS135" s="5">
        <x:f t="shared" si="12"/>
        <x:v>100.00000000000003</x:v>
      </x:c>
      <x:c r="AT135" s="5">
        <x:v>211.19553705764551</x:v>
      </x:c>
      <x:c r="AU135" s="5">
        <x:v>269.1181061710584</x:v>
      </x:c>
      <x:c r="AV135" s="5">
        <x:v>56.225245819981772</x:v>
      </x:c>
      <x:c r="AW135" s="2" t="b">
        <x:v>0</x:v>
      </x:c>
      <x:c r="AX135" s="2"/>
      <x:c r="AY135" s="2" t="s">
        <x:v>68</x:v>
      </x:c>
      <x:c r="AZ135" s="6">
        <x:v>89</x:v>
      </x:c>
      <x:c r="BA135" s="6"/>
      <x:c r="BB135" s="7"/>
      <x:c r="BC135" s="7"/>
      <x:c r="BD135" s="8"/>
      <x:c r="BE135" s="2" t="e">
        <x:f>IF(AE135="Blocked","No",IF(AJ135&lt;=[1]Model_Parameters!$B$20,"Yes","No"))</x:f>
        <x:v>#NAME?</x:v>
      </x:c>
      <x:c r="BF135" s="2" t="str">
        <x:f t="shared" si="13"/>
        <x:v>Yes</x:v>
      </x:c>
      <x:c r="BG135" s="2" t="str">
        <x:f t="shared" si="14"/>
        <x:v>Yes</x:v>
      </x:c>
      <x:c r="BH135" s="24"/>
      <x:c r="BI135" s="24"/>
    </x:row>
    <x:row r="136">
      <x:c r="A136" s="2" t="s">
        <x:v>59</x:v>
      </x:c>
      <x:c r="B136" s="3">
        <x:v>248</x:v>
      </x:c>
      <x:c r="C136" s="2" t="s">
        <x:v>573</x:v>
      </x:c>
      <x:c r="D136" s="2" t="s">
        <x:v>574</x:v>
      </x:c>
      <x:c r="E136" s="2" t="s">
        <x:v>62</x:v>
      </x:c>
      <x:c r="F136" s="2" t="s">
        <x:v>63</x:v>
      </x:c>
      <x:c r="G136" s="3">
        <x:v>109</x:v>
      </x:c>
      <x:c r="H136" s="3">
        <x:v>0</x:v>
      </x:c>
      <x:c r="I136" s="3">
        <x:v>120</x:v>
      </x:c>
      <x:c r="J136" s="4">
        <x:v>9.3023255813953487E-2</x:v>
      </x:c>
      <x:c r="K136" s="3">
        <x:v>0</x:v>
      </x:c>
      <x:c r="L136" s="2" t="s">
        <x:v>575</x:v>
      </x:c>
      <x:c r="M136" s="3">
        <x:v>1329</x:v>
      </x:c>
      <x:c r="N136" s="3">
        <x:v>89</x:v>
      </x:c>
      <x:c r="O136" s="5">
        <x:v>58.045088711167217</x:v>
      </x:c>
      <x:c r="P136" s="5">
        <x:v>29.376492374939112</x:v>
      </x:c>
      <x:c r="Q136" s="5"/>
      <x:c r="R136" s="5">
        <x:v>70.603432715965823</x:v>
      </x:c>
      <x:c r="S136" s="5">
        <x:f t="shared" si="10"/>
        <x:v>23.930214093848939</x:v>
      </x:c>
      <x:c r="T136" s="5">
        <x:f t="shared" si="11"/>
        <x:v>23.930214093848939</x:v>
      </x:c>
      <x:c r="U136" s="5" t="e">
        <x:f>T136/[1]Model_Parameters!$B$22</x:f>
        <x:v>#NAME?</x:v>
      </x:c>
      <x:c r="V136" s="5">
        <x:v>190.9918962743595</x:v>
      </x:c>
      <x:c r="W136" s="5">
        <x:v>190.9918962743595</x:v>
      </x:c>
      <x:c r="X136" s="5">
        <x:v>92.02640670729977</x:v>
      </x:c>
      <x:c r="Y136" s="3">
        <x:v>10</x:v>
      </x:c>
      <x:c r="Z136" s="3">
        <x:v>2</x:v>
      </x:c>
      <x:c r="AA136" s="3">
        <x:v>2</x:v>
      </x:c>
      <x:c r="AB136" s="2"/>
      <x:c r="AC136" s="3"/>
      <x:c r="AD136" s="3"/>
      <x:c r="AE136" s="2" t="s">
        <x:v>120</x:v>
      </x:c>
      <x:c r="AF136" s="3">
        <x:v>2</x:v>
      </x:c>
      <x:c r="AG136" s="3">
        <x:v>0</x:v>
      </x:c>
      <x:c r="AH136" s="2" t="s">
        <x:v>562</x:v>
      </x:c>
      <x:c r="AI136" s="3">
        <x:v>89</x:v>
      </x:c>
      <x:c r="AJ136" s="3">
        <x:v>4</x:v>
      </x:c>
      <x:c r="AK136" s="2" t="s">
        <x:v>66</x:v>
      </x:c>
      <x:c r="AL136" s="3">
        <x:v>0</x:v>
      </x:c>
      <x:c r="AM136" s="2" t="s">
        <x:v>576</x:v>
      </x:c>
      <x:c r="AN136" s="3">
        <x:v>90</x:v>
      </x:c>
      <x:c r="AO136" s="3">
        <x:v>9</x:v>
      </x:c>
      <x:c r="AP136" s="3">
        <x:v>13</x:v>
      </x:c>
      <x:c r="AQ136" s="5">
        <x:v>26.003638466469361</x:v>
      </x:c>
      <x:c r="AR136" s="5">
        <x:v>23.930214093848949</x:v>
      </x:c>
      <x:c r="AS136" s="5">
        <x:f t="shared" si="12"/>
        <x:v>100.00000000000004</x:v>
      </x:c>
      <x:c r="AT136" s="5">
        <x:v>173.35758977646239</x:v>
      </x:c>
      <x:c r="AU136" s="5">
        <x:v>190.9918962743595</x:v>
      </x:c>
      <x:c r="AV136" s="5">
        <x:v>70.603432715965823</x:v>
      </x:c>
      <x:c r="AW136" s="2" t="b">
        <x:v>0</x:v>
      </x:c>
      <x:c r="AX136" s="2"/>
      <x:c r="AY136" s="2" t="s">
        <x:v>68</x:v>
      </x:c>
      <x:c r="AZ136" s="6">
        <x:v>89</x:v>
      </x:c>
      <x:c r="BA136" s="6"/>
      <x:c r="BB136" s="7"/>
      <x:c r="BC136" s="7"/>
      <x:c r="BD136" s="8"/>
      <x:c r="BE136" s="2" t="e">
        <x:f>IF(AE136="Blocked","No",IF(AJ136&lt;=[1]Model_Parameters!$B$20,"Yes","No"))</x:f>
        <x:v>#NAME?</x:v>
      </x:c>
      <x:c r="BF136" s="2" t="str">
        <x:f t="shared" si="13"/>
        <x:v>Yes</x:v>
      </x:c>
      <x:c r="BG136" s="2" t="str">
        <x:f t="shared" si="14"/>
        <x:v>Yes</x:v>
      </x:c>
      <x:c r="BH136" s="24"/>
      <x:c r="BI136" s="24"/>
    </x:row>
    <x:row r="137">
      <x:c r="A137" s="2" t="s">
        <x:v>59</x:v>
      </x:c>
      <x:c r="B137" s="3">
        <x:v>250</x:v>
      </x:c>
      <x:c r="C137" s="2" t="s">
        <x:v>577</x:v>
      </x:c>
      <x:c r="D137" s="2" t="s">
        <x:v>578</x:v>
      </x:c>
      <x:c r="E137" s="2" t="s">
        <x:v>62</x:v>
      </x:c>
      <x:c r="F137" s="2" t="s">
        <x:v>63</x:v>
      </x:c>
      <x:c r="G137" s="3">
        <x:v>110</x:v>
      </x:c>
      <x:c r="H137" s="3">
        <x:v>0</x:v>
      </x:c>
      <x:c r="I137" s="3">
        <x:v>120</x:v>
      </x:c>
      <x:c r="J137" s="4">
        <x:v>9.3023255813953487E-2</x:v>
      </x:c>
      <x:c r="K137" s="3">
        <x:v>0</x:v>
      </x:c>
      <x:c r="L137" s="2" t="s">
        <x:v>572</x:v>
      </x:c>
      <x:c r="M137" s="3">
        <x:v>1331</x:v>
      </x:c>
      <x:c r="N137" s="3">
        <x:v>89</x:v>
      </x:c>
      <x:c r="O137" s="5">
        <x:v>113.6846807537393</x:v>
      </x:c>
      <x:c r="P137" s="5">
        <x:v>27.88048157228469</x:v>
      </x:c>
      <x:c r="Q137" s="5"/>
      <x:c r="R137" s="5">
        <x:v>70.365035615575565</x:v>
      </x:c>
      <x:c r="S137" s="5">
        <x:f t="shared" si="10"/>
        <x:v>48.298429633765075</x:v>
      </x:c>
      <x:c r="T137" s="5">
        <x:f t="shared" si="11"/>
        <x:v>48.298429633765075</x:v>
      </x:c>
      <x:c r="U137" s="5" t="e">
        <x:f>T137/[1]Model_Parameters!$B$22</x:f>
        <x:v>#NAME?</x:v>
      </x:c>
      <x:c r="V137" s="5">
        <x:v>409.42535400604402</x:v>
      </x:c>
      <x:c r="W137" s="5">
        <x:v>409.42535400604402</x:v>
      </x:c>
      <x:c r="X137" s="5">
        <x:v>92.984417742286865</x:v>
      </x:c>
      <x:c r="Y137" s="3">
        <x:v>10</x:v>
      </x:c>
      <x:c r="Z137" s="3">
        <x:v>3</x:v>
      </x:c>
      <x:c r="AA137" s="3">
        <x:v>2</x:v>
      </x:c>
      <x:c r="AB137" s="2"/>
      <x:c r="AC137" s="3"/>
      <x:c r="AD137" s="3"/>
      <x:c r="AE137" s="2" t="s">
        <x:v>120</x:v>
      </x:c>
      <x:c r="AF137" s="3">
        <x:v>4</x:v>
      </x:c>
      <x:c r="AG137" s="3">
        <x:v>0</x:v>
      </x:c>
      <x:c r="AH137" s="2" t="s">
        <x:v>539</x:v>
      </x:c>
      <x:c r="AI137" s="3">
        <x:v>89</x:v>
      </x:c>
      <x:c r="AJ137" s="3">
        <x:v>3</x:v>
      </x:c>
      <x:c r="AK137" s="2" t="s">
        <x:v>66</x:v>
      </x:c>
      <x:c r="AL137" s="3">
        <x:v>0</x:v>
      </x:c>
      <x:c r="AM137" s="2" t="s">
        <x:v>576</x:v>
      </x:c>
      <x:c r="AN137" s="3">
        <x:v>90</x:v>
      </x:c>
      <x:c r="AO137" s="3">
        <x:v>8</x:v>
      </x:c>
      <x:c r="AP137" s="3">
        <x:v>11</x:v>
      </x:c>
      <x:c r="AQ137" s="5">
        <x:v>51.942498330879197</x:v>
      </x:c>
      <x:c r="AR137" s="5">
        <x:v>48.298429633765089</x:v>
      </x:c>
      <x:c r="AS137" s="5">
        <x:f t="shared" si="12"/>
        <x:v>100.00000000000003</x:v>
      </x:c>
      <x:c r="AT137" s="5">
        <x:v>389.56873748159398</x:v>
      </x:c>
      <x:c r="AU137" s="5">
        <x:v>409.42535400604402</x:v>
      </x:c>
      <x:c r="AV137" s="5">
        <x:v>70.365035615575565</x:v>
      </x:c>
      <x:c r="AW137" s="2" t="b">
        <x:v>0</x:v>
      </x:c>
      <x:c r="AX137" s="2"/>
      <x:c r="AY137" s="2" t="s">
        <x:v>68</x:v>
      </x:c>
      <x:c r="AZ137" s="6">
        <x:v>89</x:v>
      </x:c>
      <x:c r="BA137" s="6"/>
      <x:c r="BB137" s="7"/>
      <x:c r="BC137" s="7"/>
      <x:c r="BD137" s="8"/>
      <x:c r="BE137" s="2" t="e">
        <x:f>IF(AE137="Blocked","No",IF(AJ137&lt;=[1]Model_Parameters!$B$20,"Yes","No"))</x:f>
        <x:v>#NAME?</x:v>
      </x:c>
      <x:c r="BF137" s="2" t="str">
        <x:f t="shared" si="13"/>
        <x:v>Yes</x:v>
      </x:c>
      <x:c r="BG137" s="2" t="str">
        <x:f t="shared" si="14"/>
        <x:v>Yes</x:v>
      </x:c>
      <x:c r="BH137" s="24"/>
      <x:c r="BI137" s="24"/>
    </x:row>
    <x:row r="138">
      <x:c r="A138" s="2" t="s">
        <x:v>59</x:v>
      </x:c>
      <x:c r="B138" s="3">
        <x:v>255</x:v>
      </x:c>
      <x:c r="C138" s="2" t="s">
        <x:v>579</x:v>
      </x:c>
      <x:c r="D138" s="2" t="s">
        <x:v>580</x:v>
      </x:c>
      <x:c r="E138" s="2" t="s">
        <x:v>62</x:v>
      </x:c>
      <x:c r="F138" s="2" t="s">
        <x:v>63</x:v>
      </x:c>
      <x:c r="G138" s="3">
        <x:v>111</x:v>
      </x:c>
      <x:c r="H138" s="3">
        <x:v>0</x:v>
      </x:c>
      <x:c r="I138" s="3">
        <x:v>120</x:v>
      </x:c>
      <x:c r="J138" s="4">
        <x:v>9.3023255813953487E-2</x:v>
      </x:c>
      <x:c r="K138" s="3">
        <x:v>0</x:v>
      </x:c>
      <x:c r="L138" s="2" t="s">
        <x:v>581</x:v>
      </x:c>
      <x:c r="M138" s="3">
        <x:v>1339</x:v>
      </x:c>
      <x:c r="N138" s="3">
        <x:v>90</x:v>
      </x:c>
      <x:c r="O138" s="5">
        <x:v>63.024121877746083</x:v>
      </x:c>
      <x:c r="P138" s="5">
        <x:v>16.52678135286261</x:v>
      </x:c>
      <x:c r="Q138" s="5"/>
      <x:c r="R138" s="5">
        <x:v>88.410481299062752</x:v>
      </x:c>
      <x:c r="S138" s="5">
        <x:f t="shared" si="10"/>
        <x:v>45.304070664326474</x:v>
      </x:c>
      <x:c r="T138" s="5">
        <x:f t="shared" si="11"/>
        <x:v>45.304070664326474</x:v>
      </x:c>
      <x:c r="U138" s="5" t="e">
        <x:f>T138/[1]Model_Parameters!$B$22</x:f>
        <x:v>#NAME?</x:v>
      </x:c>
      <x:c r="V138" s="5">
        <x:v>295.20512528522403</x:v>
      </x:c>
      <x:c r="W138" s="5">
        <x:v>295.20512528522403</x:v>
      </x:c>
      <x:c r="X138" s="5">
        <x:v>92.352008987302725</x:v>
      </x:c>
      <x:c r="Y138" s="3">
        <x:v>10</x:v>
      </x:c>
      <x:c r="Z138" s="3">
        <x:v>4</x:v>
      </x:c>
      <x:c r="AA138" s="3">
        <x:v>1</x:v>
      </x:c>
      <x:c r="AB138" s="2"/>
      <x:c r="AC138" s="3"/>
      <x:c r="AD138" s="3"/>
      <x:c r="AE138" s="2" t="s">
        <x:v>120</x:v>
      </x:c>
      <x:c r="AF138" s="3">
        <x:v>2</x:v>
      </x:c>
      <x:c r="AG138" s="3">
        <x:v>0</x:v>
      </x:c>
      <x:c r="AH138" s="2" t="s">
        <x:v>576</x:v>
      </x:c>
      <x:c r="AI138" s="3">
        <x:v>90</x:v>
      </x:c>
      <x:c r="AJ138" s="3">
        <x:v>3</x:v>
      </x:c>
      <x:c r="AK138" s="2" t="s">
        <x:v>66</x:v>
      </x:c>
      <x:c r="AL138" s="3">
        <x:v>0</x:v>
      </x:c>
      <x:c r="AM138" s="2" t="s">
        <x:v>582</x:v>
      </x:c>
      <x:c r="AN138" s="3">
        <x:v>91</x:v>
      </x:c>
      <x:c r="AO138" s="3">
        <x:v>12</x:v>
      </x:c>
      <x:c r="AP138" s="3">
        <x:v>15</x:v>
      </x:c>
      <x:c r="AQ138" s="5">
        <x:v>49.055858298172197</x:v>
      </x:c>
      <x:c r="AR138" s="5">
        <x:v>45.304070664326467</x:v>
      </x:c>
      <x:c r="AS138" s="5">
        <x:f t="shared" si="12"/>
        <x:v>99.999999999999986</x:v>
      </x:c>
      <x:c r="AT138" s="5">
        <x:v>245.279291490861</x:v>
      </x:c>
      <x:c r="AU138" s="5">
        <x:v>295.20512528522403</x:v>
      </x:c>
      <x:c r="AV138" s="5">
        <x:v>88.410481299062752</x:v>
      </x:c>
      <x:c r="AW138" s="2" t="b">
        <x:v>0</x:v>
      </x:c>
      <x:c r="AX138" s="2"/>
      <x:c r="AY138" s="2" t="s">
        <x:v>68</x:v>
      </x:c>
      <x:c r="AZ138" s="6">
        <x:v>90</x:v>
      </x:c>
      <x:c r="BA138" s="6"/>
      <x:c r="BB138" s="7"/>
      <x:c r="BC138" s="7"/>
      <x:c r="BD138" s="8"/>
      <x:c r="BE138" s="2" t="e">
        <x:f>IF(AE138="Blocked","No",IF(AJ138&lt;=[1]Model_Parameters!$B$20,"Yes","No"))</x:f>
        <x:v>#NAME?</x:v>
      </x:c>
      <x:c r="BF138" s="2" t="str">
        <x:f t="shared" si="13"/>
        <x:v>Yes</x:v>
      </x:c>
      <x:c r="BG138" s="2" t="str">
        <x:f t="shared" si="14"/>
        <x:v>Yes</x:v>
      </x:c>
      <x:c r="BH138" s="24"/>
      <x:c r="BI138" s="24"/>
    </x:row>
    <x:row r="139">
      <x:c r="A139" s="2" t="s">
        <x:v>59</x:v>
      </x:c>
      <x:c r="B139" s="3">
        <x:v>258</x:v>
      </x:c>
      <x:c r="C139" s="2" t="s">
        <x:v>583</x:v>
      </x:c>
      <x:c r="D139" s="2" t="s">
        <x:v>584</x:v>
      </x:c>
      <x:c r="E139" s="2" t="s">
        <x:v>79</x:v>
      </x:c>
      <x:c r="F139" s="2" t="s">
        <x:v>80</x:v>
      </x:c>
      <x:c r="G139" s="3">
        <x:v>27</x:v>
      </x:c>
      <x:c r="H139" s="3">
        <x:v>1</x:v>
      </x:c>
      <x:c r="I139" s="3">
        <x:v>30</x:v>
      </x:c>
      <x:c r="J139" s="4">
        <x:v>6.1050061050061048E-2</x:v>
      </x:c>
      <x:c r="K139" s="3">
        <x:v>0</x:v>
      </x:c>
      <x:c r="L139" s="2" t="s">
        <x:v>585</x:v>
      </x:c>
      <x:c r="M139" s="3">
        <x:v>1343</x:v>
      </x:c>
      <x:c r="N139" s="3">
        <x:v>90</x:v>
      </x:c>
      <x:c r="O139" s="5">
        <x:v>201.10977173667561</x:v>
      </x:c>
      <x:c r="P139" s="5">
        <x:v>25.607737165641389</x:v>
      </x:c>
      <x:c r="Q139" s="5"/>
      <x:c r="R139" s="5">
        <x:v>61.343932627044708</x:v>
      </x:c>
      <x:c r="S139" s="5">
        <x:f t="shared" si="10"/>
        <x:v>71.868981119800452</x:v>
      </x:c>
      <x:c r="T139" s="5">
        <x:f t="shared" si="11"/>
        <x:v>71.868981119800452</x:v>
      </x:c>
      <x:c r="U139" s="5" t="e">
        <x:f>T139/[1]Model_Parameters!$B$22</x:f>
        <x:v>#NAME?</x:v>
      </x:c>
      <x:c r="V139" s="5">
        <x:v>289.93788269564209</x:v>
      </x:c>
      <x:c r="W139" s="5">
        <x:v>289.93788269564209</x:v>
      </x:c>
      <x:c r="X139" s="5">
        <x:v>91.430972529024174</x:v>
      </x:c>
      <x:c r="Y139" s="3">
        <x:v>10</x:v>
      </x:c>
      <x:c r="Z139" s="3">
        <x:v>5</x:v>
      </x:c>
      <x:c r="AA139" s="3">
        <x:v>6</x:v>
      </x:c>
      <x:c r="AB139" s="2"/>
      <x:c r="AC139" s="3"/>
      <x:c r="AD139" s="3"/>
      <x:c r="AE139" s="2" t="s">
        <x:v>120</x:v>
      </x:c>
      <x:c r="AF139" s="3">
        <x:v>9</x:v>
      </x:c>
      <x:c r="AG139" s="3">
        <x:v>0</x:v>
      </x:c>
      <x:c r="AH139" s="2" t="s">
        <x:v>586</x:v>
      </x:c>
      <x:c r="AI139" s="3">
        <x:v>91</x:v>
      </x:c>
      <x:c r="AJ139" s="3">
        <x:v>14</x:v>
      </x:c>
      <x:c r="AK139" s="2" t="s">
        <x:v>66</x:v>
      </x:c>
      <x:c r="AL139" s="3">
        <x:v>0</x:v>
      </x:c>
      <x:c r="AM139" s="2" t="s">
        <x:v>587</x:v>
      </x:c>
      <x:c r="AN139" s="3">
        <x:v>92</x:v>
      </x:c>
      <x:c r="AO139" s="3">
        <x:v>17</x:v>
      </x:c>
      <x:c r="AP139" s="3">
        <x:v>31</x:v>
      </x:c>
      <x:c r="AQ139" s="5">
        <x:v>78.604633782043777</x:v>
      </x:c>
      <x:c r="AR139" s="5">
        <x:v>71.868981119800495</x:v>
      </x:c>
      <x:c r="AS139" s="5">
        <x:f t="shared" si="12"/>
        <x:v>100.00000000000007</x:v>
      </x:c>
      <x:c r="AT139" s="5">
        <x:v>277.42811923074282</x:v>
      </x:c>
      <x:c r="AU139" s="5">
        <x:v>289.93788269564209</x:v>
      </x:c>
      <x:c r="AV139" s="5">
        <x:v>61.343932627044708</x:v>
      </x:c>
      <x:c r="AW139" s="2" t="b">
        <x:v>0</x:v>
      </x:c>
      <x:c r="AX139" s="2"/>
      <x:c r="AY139" s="2" t="s">
        <x:v>83</x:v>
      </x:c>
      <x:c r="AZ139" s="6">
        <x:v>90</x:v>
      </x:c>
      <x:c r="BA139" s="6"/>
      <x:c r="BB139" s="7"/>
      <x:c r="BC139" s="7"/>
      <x:c r="BD139" s="8"/>
      <x:c r="BE139" s="2" t="e">
        <x:f>IF(AE139="Blocked","No",IF(AJ139&lt;=[1]Model_Parameters!$B$20,"Yes","No"))</x:f>
        <x:v>#NAME?</x:v>
      </x:c>
      <x:c r="BF139" s="2" t="str">
        <x:f t="shared" si="13"/>
        <x:v>Yes</x:v>
      </x:c>
      <x:c r="BG139" s="2" t="str">
        <x:f t="shared" si="14"/>
        <x:v>Yes</x:v>
      </x:c>
      <x:c r="BH139" s="24" t="str">
        <x:v>20:30</x:v>
      </x:c>
      <x:c r="BI139" s="24" t="str">
        <x:v>24:00</x:v>
      </x:c>
    </x:row>
    <x:row r="140">
      <x:c r="A140" s="2" t="s">
        <x:v>59</x:v>
      </x:c>
      <x:c r="B140" s="3">
        <x:v>259</x:v>
      </x:c>
      <x:c r="C140" s="2" t="s">
        <x:v>588</x:v>
      </x:c>
      <x:c r="D140" s="2" t="s">
        <x:v>589</x:v>
      </x:c>
      <x:c r="E140" s="2" t="s">
        <x:v>62</x:v>
      </x:c>
      <x:c r="F140" s="2" t="s">
        <x:v>63</x:v>
      </x:c>
      <x:c r="G140" s="3">
        <x:v>112</x:v>
      </x:c>
      <x:c r="H140" s="3">
        <x:v>0</x:v>
      </x:c>
      <x:c r="I140" s="3">
        <x:v>120</x:v>
      </x:c>
      <x:c r="J140" s="4">
        <x:v>9.3023255813953487E-2</x:v>
      </x:c>
      <x:c r="K140" s="3">
        <x:v>0</x:v>
      </x:c>
      <x:c r="L140" s="2" t="s">
        <x:v>590</x:v>
      </x:c>
      <x:c r="M140" s="3">
        <x:v>1344</x:v>
      </x:c>
      <x:c r="N140" s="3">
        <x:v>90</x:v>
      </x:c>
      <x:c r="O140" s="5">
        <x:v>96.166285939706825</x:v>
      </x:c>
      <x:c r="P140" s="5">
        <x:v>26.622000024095101</x:v>
      </x:c>
      <x:c r="Q140" s="5"/>
      <x:c r="R140" s="5">
        <x:v>77.301778934007658</x:v>
      </x:c>
      <x:c r="S140" s="5">
        <x:f t="shared" si="10"/>
        <x:v>48.736861100117743</x:v>
      </x:c>
      <x:c r="T140" s="5">
        <x:f t="shared" si="11"/>
        <x:v>48.736861100117743</x:v>
      </x:c>
      <x:c r="U140" s="5" t="e">
        <x:f>T140/[1]Model_Parameters!$B$22</x:f>
        <x:v>#NAME?</x:v>
      </x:c>
      <x:c r="V140" s="5">
        <x:v>329.74847847385843</x:v>
      </x:c>
      <x:c r="W140" s="5">
        <x:v>329.74847847385843</x:v>
      </x:c>
      <x:c r="X140" s="5">
        <x:v>90.038929905792145</x:v>
      </x:c>
      <x:c r="Y140" s="3">
        <x:v>10</x:v>
      </x:c>
      <x:c r="Z140" s="3">
        <x:v>6</x:v>
      </x:c>
      <x:c r="AA140" s="3">
        <x:v>1</x:v>
      </x:c>
      <x:c r="AB140" s="2"/>
      <x:c r="AC140" s="3"/>
      <x:c r="AD140" s="3"/>
      <x:c r="AE140" s="2" t="s">
        <x:v>120</x:v>
      </x:c>
      <x:c r="AF140" s="3">
        <x:v>9</x:v>
      </x:c>
      <x:c r="AG140" s="3">
        <x:v>0</x:v>
      </x:c>
      <x:c r="AH140" s="2" t="s">
        <x:v>569</x:v>
      </x:c>
      <x:c r="AI140" s="3">
        <x:v>90</x:v>
      </x:c>
      <x:c r="AJ140" s="3">
        <x:v>2</x:v>
      </x:c>
      <x:c r="AK140" s="2" t="s">
        <x:v>66</x:v>
      </x:c>
      <x:c r="AL140" s="3">
        <x:v>0</x:v>
      </x:c>
      <x:c r="AM140" s="2" t="s">
        <x:v>586</x:v>
      </x:c>
      <x:c r="AN140" s="3">
        <x:v>91</x:v>
      </x:c>
      <x:c r="AO140" s="3">
        <x:v>11</x:v>
      </x:c>
      <x:c r="AP140" s="3">
        <x:v>13</x:v>
      </x:c>
      <x:c r="AQ140" s="5">
        <x:v>54.128654295548813</x:v>
      </x:c>
      <x:c r="AR140" s="5">
        <x:v>48.736861100117729</x:v>
      </x:c>
      <x:c r="AS140" s="5">
        <x:f t="shared" si="12"/>
        <x:v>99.999999999999972</x:v>
      </x:c>
      <x:c r="AT140" s="5">
        <x:v>295.24720524844798</x:v>
      </x:c>
      <x:c r="AU140" s="5">
        <x:v>329.74847847385843</x:v>
      </x:c>
      <x:c r="AV140" s="5">
        <x:v>77.301778934007658</x:v>
      </x:c>
      <x:c r="AW140" s="2" t="b">
        <x:v>0</x:v>
      </x:c>
      <x:c r="AX140" s="2"/>
      <x:c r="AY140" s="2" t="s">
        <x:v>68</x:v>
      </x:c>
      <x:c r="AZ140" s="6">
        <x:v>90</x:v>
      </x:c>
      <x:c r="BA140" s="6"/>
      <x:c r="BB140" s="7"/>
      <x:c r="BC140" s="7"/>
      <x:c r="BD140" s="8"/>
      <x:c r="BE140" s="2" t="e">
        <x:f>IF(AE140="Blocked","No",IF(AJ140&lt;=[1]Model_Parameters!$B$20,"Yes","No"))</x:f>
        <x:v>#NAME?</x:v>
      </x:c>
      <x:c r="BF140" s="2" t="str">
        <x:f t="shared" si="13"/>
        <x:v>Yes</x:v>
      </x:c>
      <x:c r="BG140" s="2" t="str">
        <x:f t="shared" si="14"/>
        <x:v>Yes</x:v>
      </x:c>
      <x:c r="BH140" s="24"/>
      <x:c r="BI140" s="24"/>
    </x:row>
    <x:row r="141">
      <x:c r="A141" s="2" t="s">
        <x:v>59</x:v>
      </x:c>
      <x:c r="B141" s="3">
        <x:v>261</x:v>
      </x:c>
      <x:c r="C141" s="2" t="s">
        <x:v>591</x:v>
      </x:c>
      <x:c r="D141" s="2" t="s">
        <x:v>592</x:v>
      </x:c>
      <x:c r="E141" s="2" t="s">
        <x:v>62</x:v>
      </x:c>
      <x:c r="F141" s="2" t="s">
        <x:v>63</x:v>
      </x:c>
      <x:c r="G141" s="3">
        <x:v>113</x:v>
      </x:c>
      <x:c r="H141" s="3">
        <x:v>0</x:v>
      </x:c>
      <x:c r="I141" s="3">
        <x:v>120</x:v>
      </x:c>
      <x:c r="J141" s="4">
        <x:v>9.3023255813953487E-2</x:v>
      </x:c>
      <x:c r="K141" s="3">
        <x:v>0</x:v>
      </x:c>
      <x:c r="L141" s="2" t="s">
        <x:v>593</x:v>
      </x:c>
      <x:c r="M141" s="3">
        <x:v>1345</x:v>
      </x:c>
      <x:c r="N141" s="3">
        <x:v>90</x:v>
      </x:c>
      <x:c r="O141" s="5">
        <x:v>118.76831339791789</x:v>
      </x:c>
      <x:c r="P141" s="5">
        <x:v>11.568023530992621</x:v>
      </x:c>
      <x:c r="Q141" s="5"/>
      <x:c r="R141" s="5">
        <x:v>75.389962587968043</x:v>
      </x:c>
      <x:c r="S141" s="5">
        <x:f t="shared" si="10"/>
        <x:v>75.800240595816732</x:v>
      </x:c>
      <x:c r="T141" s="5">
        <x:f t="shared" si="11"/>
        <x:v>75.800240595816732</x:v>
      </x:c>
      <x:c r="U141" s="5" t="e">
        <x:f>T141/[1]Model_Parameters!$B$22</x:f>
        <x:v>#NAME?</x:v>
      </x:c>
      <x:c r="V141" s="5">
        <x:v>316.46384450797729</x:v>
      </x:c>
      <x:c r="W141" s="5">
        <x:v>316.46384450797729</x:v>
      </x:c>
      <x:c r="X141" s="5">
        <x:v>94.454916315701951</x:v>
      </x:c>
      <x:c r="Y141" s="3">
        <x:v>10</x:v>
      </x:c>
      <x:c r="Z141" s="3">
        <x:v>8</x:v>
      </x:c>
      <x:c r="AA141" s="3">
        <x:v>2</x:v>
      </x:c>
      <x:c r="AB141" s="2"/>
      <x:c r="AC141" s="3"/>
      <x:c r="AD141" s="3"/>
      <x:c r="AE141" s="2" t="s">
        <x:v>120</x:v>
      </x:c>
      <x:c r="AF141" s="3">
        <x:v>1</x:v>
      </x:c>
      <x:c r="AG141" s="3">
        <x:v>0</x:v>
      </x:c>
      <x:c r="AH141" s="2" t="s">
        <x:v>565</x:v>
      </x:c>
      <x:c r="AI141" s="3">
        <x:v>90</x:v>
      </x:c>
      <x:c r="AJ141" s="3">
        <x:v>2</x:v>
      </x:c>
      <x:c r="AK141" s="2" t="s">
        <x:v>66</x:v>
      </x:c>
      <x:c r="AL141" s="3">
        <x:v>0</x:v>
      </x:c>
      <x:c r="AM141" s="2" t="s">
        <x:v>594</x:v>
      </x:c>
      <x:c r="AN141" s="3">
        <x:v>91</x:v>
      </x:c>
      <x:c r="AO141" s="3">
        <x:v>16</x:v>
      </x:c>
      <x:c r="AP141" s="3">
        <x:v>18</x:v>
      </x:c>
      <x:c r="AQ141" s="5">
        <x:v>80.250180247331286</x:v>
      </x:c>
      <x:c r="AR141" s="5">
        <x:v>75.80024059581676</x:v>
      </x:c>
      <x:c r="AS141" s="5">
        <x:f t="shared" si="12"/>
        <x:v>100.00000000000004</x:v>
      </x:c>
      <x:c r="AT141" s="5">
        <x:v>300.93817592749241</x:v>
      </x:c>
      <x:c r="AU141" s="5">
        <x:v>316.46384450797729</x:v>
      </x:c>
      <x:c r="AV141" s="5">
        <x:v>75.389962587968043</x:v>
      </x:c>
      <x:c r="AW141" s="2" t="b">
        <x:v>0</x:v>
      </x:c>
      <x:c r="AX141" s="2"/>
      <x:c r="AY141" s="2" t="s">
        <x:v>68</x:v>
      </x:c>
      <x:c r="AZ141" s="6">
        <x:v>90</x:v>
      </x:c>
      <x:c r="BA141" s="6"/>
      <x:c r="BB141" s="7"/>
      <x:c r="BC141" s="7"/>
      <x:c r="BD141" s="8"/>
      <x:c r="BE141" s="2" t="e">
        <x:f>IF(AE141="Blocked","No",IF(AJ141&lt;=[1]Model_Parameters!$B$20,"Yes","No"))</x:f>
        <x:v>#NAME?</x:v>
      </x:c>
      <x:c r="BF141" s="2" t="str">
        <x:f t="shared" si="13"/>
        <x:v>Yes</x:v>
      </x:c>
      <x:c r="BG141" s="2" t="str">
        <x:f t="shared" si="14"/>
        <x:v>Yes</x:v>
      </x:c>
      <x:c r="BH141" s="24"/>
      <x:c r="BI141" s="24"/>
    </x:row>
    <x:row r="142">
      <x:c r="A142" s="2" t="s">
        <x:v>59</x:v>
      </x:c>
      <x:c r="B142" s="3">
        <x:v>262</x:v>
      </x:c>
      <x:c r="C142" s="2" t="s">
        <x:v>595</x:v>
      </x:c>
      <x:c r="D142" s="2" t="s">
        <x:v>596</x:v>
      </x:c>
      <x:c r="E142" s="2" t="s">
        <x:v>62</x:v>
      </x:c>
      <x:c r="F142" s="2" t="s">
        <x:v>63</x:v>
      </x:c>
      <x:c r="G142" s="3">
        <x:v>114</x:v>
      </x:c>
      <x:c r="H142" s="3">
        <x:v>0</x:v>
      </x:c>
      <x:c r="I142" s="3">
        <x:v>120</x:v>
      </x:c>
      <x:c r="J142" s="4">
        <x:v>9.3023255813953487E-2</x:v>
      </x:c>
      <x:c r="K142" s="3">
        <x:v>0</x:v>
      </x:c>
      <x:c r="L142" s="2" t="s">
        <x:v>569</x:v>
      </x:c>
      <x:c r="M142" s="3">
        <x:v>1346</x:v>
      </x:c>
      <x:c r="N142" s="3">
        <x:v>90</x:v>
      </x:c>
      <x:c r="O142" s="5">
        <x:v>102.19789875539411</x:v>
      </x:c>
      <x:c r="P142" s="5">
        <x:v>28.8246141660474</x:v>
      </x:c>
      <x:c r="Q142" s="5"/>
      <x:c r="R142" s="5">
        <x:v>78.773881234005557</x:v>
      </x:c>
      <x:c r="S142" s="5">
        <x:f t="shared" si="10"/>
        <x:v>51.047101387173285</x:v>
      </x:c>
      <x:c r="T142" s="5">
        <x:f t="shared" si="11"/>
        <x:v>51.047101387173285</x:v>
      </x:c>
      <x:c r="U142" s="5" t="e">
        <x:f>T142/[1]Model_Parameters!$B$22</x:f>
        <x:v>#NAME?</x:v>
      </x:c>
      <x:c r="V142" s="5">
        <x:v>444.09432308122621</x:v>
      </x:c>
      <x:c r="W142" s="5">
        <x:v>444.09432308122621</x:v>
      </x:c>
      <x:c r="X142" s="5">
        <x:v>94.126077795950323</x:v>
      </x:c>
      <x:c r="Y142" s="3">
        <x:v>10</x:v>
      </x:c>
      <x:c r="Z142" s="3">
        <x:v>8</x:v>
      </x:c>
      <x:c r="AA142" s="3">
        <x:v>2</x:v>
      </x:c>
      <x:c r="AB142" s="2"/>
      <x:c r="AC142" s="3"/>
      <x:c r="AD142" s="3"/>
      <x:c r="AE142" s="2" t="s">
        <x:v>120</x:v>
      </x:c>
      <x:c r="AF142" s="3">
        <x:v>10</x:v>
      </x:c>
      <x:c r="AG142" s="3">
        <x:v>0</x:v>
      </x:c>
      <x:c r="AH142" s="2" t="s">
        <x:v>597</x:v>
      </x:c>
      <x:c r="AI142" s="3">
        <x:v>90</x:v>
      </x:c>
      <x:c r="AJ142" s="3">
        <x:v>2</x:v>
      </x:c>
      <x:c r="AK142" s="2" t="s">
        <x:v>66</x:v>
      </x:c>
      <x:c r="AL142" s="3">
        <x:v>0</x:v>
      </x:c>
      <x:c r="AM142" s="2" t="s">
        <x:v>598</x:v>
      </x:c>
      <x:c r="AN142" s="3">
        <x:v>91</x:v>
      </x:c>
      <x:c r="AO142" s="3">
        <x:v>8</x:v>
      </x:c>
      <x:c r="AP142" s="3">
        <x:v>10</x:v>
      </x:c>
      <x:c r="AQ142" s="5">
        <x:v>54.23268724511702</x:v>
      </x:c>
      <x:c r="AR142" s="5">
        <x:v>51.047101387173292</x:v>
      </x:c>
      <x:c r="AS142" s="5">
        <x:f t="shared" si="12"/>
        <x:v>100.00000000000003</x:v>
      </x:c>
      <x:c r="AT142" s="5">
        <x:v>406.74515433837757</x:v>
      </x:c>
      <x:c r="AU142" s="5">
        <x:v>444.09432308122621</x:v>
      </x:c>
      <x:c r="AV142" s="5">
        <x:v>78.773881234005557</x:v>
      </x:c>
      <x:c r="AW142" s="2" t="b">
        <x:v>0</x:v>
      </x:c>
      <x:c r="AX142" s="2"/>
      <x:c r="AY142" s="2" t="s">
        <x:v>68</x:v>
      </x:c>
      <x:c r="AZ142" s="6">
        <x:v>90</x:v>
      </x:c>
      <x:c r="BA142" s="6"/>
      <x:c r="BB142" s="7"/>
      <x:c r="BC142" s="7"/>
      <x:c r="BD142" s="8"/>
      <x:c r="BE142" s="2" t="e">
        <x:f>IF(AE142="Blocked","No",IF(AJ142&lt;=[1]Model_Parameters!$B$20,"Yes","No"))</x:f>
        <x:v>#NAME?</x:v>
      </x:c>
      <x:c r="BF142" s="2" t="str">
        <x:f t="shared" si="13"/>
        <x:v>Yes</x:v>
      </x:c>
      <x:c r="BG142" s="2" t="str">
        <x:f t="shared" si="14"/>
        <x:v>Yes</x:v>
      </x:c>
      <x:c r="BH142" s="24"/>
      <x:c r="BI142" s="24"/>
    </x:row>
    <x:row r="143">
      <x:c r="A143" s="2" t="s">
        <x:v>59</x:v>
      </x:c>
      <x:c r="B143" s="3">
        <x:v>265</x:v>
      </x:c>
      <x:c r="C143" s="2" t="s">
        <x:v>599</x:v>
      </x:c>
      <x:c r="D143" s="2" t="s">
        <x:v>600</x:v>
      </x:c>
      <x:c r="E143" s="2" t="s">
        <x:v>79</x:v>
      </x:c>
      <x:c r="F143" s="2" t="s">
        <x:v>80</x:v>
      </x:c>
      <x:c r="G143" s="3">
        <x:v>28</x:v>
      </x:c>
      <x:c r="H143" s="3">
        <x:v>1</x:v>
      </x:c>
      <x:c r="I143" s="3">
        <x:v>30</x:v>
      </x:c>
      <x:c r="J143" s="4">
        <x:v>6.1050061050061048E-2</x:v>
      </x:c>
      <x:c r="K143" s="3">
        <x:v>0</x:v>
      </x:c>
      <x:c r="L143" s="2" t="s">
        <x:v>601</x:v>
      </x:c>
      <x:c r="M143" s="3">
        <x:v>1353</x:v>
      </x:c>
      <x:c r="N143" s="3">
        <x:v>91</x:v>
      </x:c>
      <x:c r="O143" s="5">
        <x:v>114.9476471015212</x:v>
      </x:c>
      <x:c r="P143" s="5">
        <x:v>31.06640585353734</x:v>
      </x:c>
      <x:c r="Q143" s="5"/>
      <x:c r="R143" s="5">
        <x:v>78.942050499366388</x:v>
      </x:c>
      <x:c r="S143" s="5">
        <x:f t="shared" si="10"/>
        <x:v>55.0319270550659</x:v>
      </x:c>
      <x:c r="T143" s="5">
        <x:f t="shared" si="11"/>
        <x:v>55.0319270550659</x:v>
      </x:c>
      <x:c r="U143" s="5" t="e">
        <x:f>T143/[1]Model_Parameters!$B$22</x:f>
        <x:v>#NAME?</x:v>
      </x:c>
      <x:c r="V143" s="5">
        <x:v>308.97288513849719</x:v>
      </x:c>
      <x:c r="W143" s="5">
        <x:v>308.97288513849719</x:v>
      </x:c>
      <x:c r="X143" s="5">
        <x:v>90.418309816362651</x:v>
      </x:c>
      <x:c r="Y143" s="3">
        <x:v>10</x:v>
      </x:c>
      <x:c r="Z143" s="3">
        <x:v>7</x:v>
      </x:c>
      <x:c r="AA143" s="3">
        <x:v>8</x:v>
      </x:c>
      <x:c r="AB143" s="2"/>
      <x:c r="AC143" s="3"/>
      <x:c r="AD143" s="3"/>
      <x:c r="AE143" s="2" t="s">
        <x:v>120</x:v>
      </x:c>
      <x:c r="AF143" s="3">
        <x:v>5</x:v>
      </x:c>
      <x:c r="AG143" s="3">
        <x:v>0</x:v>
      </x:c>
      <x:c r="AH143" s="2" t="s">
        <x:v>533</x:v>
      </x:c>
      <x:c r="AI143" s="3">
        <x:v>92</x:v>
      </x:c>
      <x:c r="AJ143" s="3">
        <x:v>12</x:v>
      </x:c>
      <x:c r="AK143" s="2" t="s">
        <x:v>66</x:v>
      </x:c>
      <x:c r="AL143" s="3">
        <x:v>0</x:v>
      </x:c>
      <x:c r="AM143" s="2" t="s">
        <x:v>602</x:v>
      </x:c>
      <x:c r="AN143" s="3">
        <x:v>92</x:v>
      </x:c>
      <x:c r="AO143" s="3">
        <x:v>13</x:v>
      </x:c>
      <x:c r="AP143" s="3">
        <x:v>25</x:v>
      </x:c>
      <x:c r="AQ143" s="5">
        <x:v>60.863698035093087</x:v>
      </x:c>
      <x:c r="AR143" s="5">
        <x:v>55.0319270550659</x:v>
      </x:c>
      <x:c r="AS143" s="5">
        <x:f t="shared" si="12"/>
        <x:v>100</x:v>
      </x:c>
      <x:c r="AT143" s="5">
        <x:v>280.90937554658348</x:v>
      </x:c>
      <x:c r="AU143" s="5">
        <x:v>308.97288513849719</x:v>
      </x:c>
      <x:c r="AV143" s="5">
        <x:v>78.942050499366388</x:v>
      </x:c>
      <x:c r="AW143" s="2" t="b">
        <x:v>0</x:v>
      </x:c>
      <x:c r="AX143" s="2"/>
      <x:c r="AY143" s="2" t="s">
        <x:v>83</x:v>
      </x:c>
      <x:c r="AZ143" s="6">
        <x:v>91</x:v>
      </x:c>
      <x:c r="BA143" s="6"/>
      <x:c r="BB143" s="7"/>
      <x:c r="BC143" s="7"/>
      <x:c r="BD143" s="8"/>
      <x:c r="BE143" s="2" t="e">
        <x:f>IF(AE143="Blocked","No",IF(AJ143&lt;=[1]Model_Parameters!$B$20,"Yes","No"))</x:f>
        <x:v>#NAME?</x:v>
      </x:c>
      <x:c r="BF143" s="2" t="str">
        <x:f t="shared" si="13"/>
        <x:v>Yes</x:v>
      </x:c>
      <x:c r="BG143" s="2" t="str">
        <x:f t="shared" si="14"/>
        <x:v>Yes</x:v>
      </x:c>
      <x:c r="BH143" s="24" t="str">
        <x:v>20:45</x:v>
      </x:c>
      <x:c r="BI143" s="24" t="str">
        <x:v>24:00</x:v>
      </x:c>
    </x:row>
    <x:row r="144">
      <x:c r="A144" s="2" t="s">
        <x:v>59</x:v>
      </x:c>
      <x:c r="B144" s="3">
        <x:v>271</x:v>
      </x:c>
      <x:c r="C144" s="2" t="s">
        <x:v>603</x:v>
      </x:c>
      <x:c r="D144" s="2" t="s">
        <x:v>604</x:v>
      </x:c>
      <x:c r="E144" s="2" t="s">
        <x:v>79</x:v>
      </x:c>
      <x:c r="F144" s="2" t="s">
        <x:v>80</x:v>
      </x:c>
      <x:c r="G144" s="3">
        <x:v>29</x:v>
      </x:c>
      <x:c r="H144" s="3">
        <x:v>1</x:v>
      </x:c>
      <x:c r="I144" s="3">
        <x:v>30</x:v>
      </x:c>
      <x:c r="J144" s="4">
        <x:v>6.1050061050061048E-2</x:v>
      </x:c>
      <x:c r="K144" s="3">
        <x:v>0</x:v>
      </x:c>
      <x:c r="L144" s="2" t="s">
        <x:v>587</x:v>
      </x:c>
      <x:c r="M144" s="3">
        <x:v>1374</x:v>
      </x:c>
      <x:c r="N144" s="3">
        <x:v>92</x:v>
      </x:c>
      <x:c r="O144" s="5">
        <x:v>61.359205468546122</x:v>
      </x:c>
      <x:c r="P144" s="5">
        <x:v>33.945991729687137</x:v>
      </x:c>
      <x:c r="Q144" s="5"/>
      <x:c r="R144" s="5">
        <x:v>72.980101142335968</x:v>
      </x:c>
      <x:c r="S144" s="5">
        <x:f t="shared" si="10"/>
        <x:v>23.951019397324298</x:v>
      </x:c>
      <x:c r="T144" s="5">
        <x:f t="shared" si="11"/>
        <x:v>23.951019397324298</x:v>
      </x:c>
      <x:c r="U144" s="5" t="e">
        <x:f>T144/[1]Model_Parameters!$B$22</x:f>
        <x:v>#NAME?</x:v>
      </x:c>
      <x:c r="V144" s="5">
        <x:v>132.41314673788349</x:v>
      </x:c>
      <x:c r="W144" s="5">
        <x:v>132.41314673788349</x:v>
      </x:c>
      <x:c r="X144" s="5">
        <x:v>93.586983226934478</x:v>
      </x:c>
      <x:c r="Y144" s="3">
        <x:v>8</x:v>
      </x:c>
      <x:c r="Z144" s="3">
        <x:v>0</x:v>
      </x:c>
      <x:c r="AA144" s="3"/>
      <x:c r="AB144" s="2"/>
      <x:c r="AC144" s="3"/>
      <x:c r="AD144" s="3"/>
      <x:c r="AE144" s="2" t="s">
        <x:v>65</x:v>
      </x:c>
      <x:c r="AF144" s="3">
        <x:v>8</x:v>
      </x:c>
      <x:c r="AG144" s="3">
        <x:v>0</x:v>
      </x:c>
      <x:c r="AH144" s="2" t="s">
        <x:v>587</x:v>
      </x:c>
      <x:c r="AI144" s="3">
        <x:v>92</x:v>
      </x:c>
      <x:c r="AJ144" s="3">
        <x:v>0</x:v>
      </x:c>
      <x:c r="AK144" s="2" t="s">
        <x:v>66</x:v>
      </x:c>
      <x:c r="AL144" s="3">
        <x:v>0</x:v>
      </x:c>
      <x:c r="AM144" s="2" t="s">
        <x:v>605</x:v>
      </x:c>
      <x:c r="AN144" s="3">
        <x:v>93</x:v>
      </x:c>
      <x:c r="AO144" s="3">
        <x:v>12</x:v>
      </x:c>
      <x:c r="AP144" s="3">
        <x:v>12</x:v>
      </x:c>
      <x:c r="AQ144" s="5">
        <x:v>25.592255003291051</x:v>
      </x:c>
      <x:c r="AR144" s="5">
        <x:v>23.951019397324298</x:v>
      </x:c>
      <x:c r="AS144" s="5">
        <x:f t="shared" si="12"/>
        <x:v>100</x:v>
      </x:c>
      <x:c r="AT144" s="5">
        <x:v>127.9612750164552</x:v>
      </x:c>
      <x:c r="AU144" s="5">
        <x:v>132.41314673788349</x:v>
      </x:c>
      <x:c r="AV144" s="5">
        <x:v>72.980101142335968</x:v>
      </x:c>
      <x:c r="AW144" s="2" t="b">
        <x:v>0</x:v>
      </x:c>
      <x:c r="AX144" s="2"/>
      <x:c r="AY144" s="2" t="s">
        <x:v>83</x:v>
      </x:c>
      <x:c r="AZ144" s="6">
        <x:v>92</x:v>
      </x:c>
      <x:c r="BA144" s="6"/>
      <x:c r="BB144" s="7"/>
      <x:c r="BC144" s="7"/>
      <x:c r="BD144" s="8"/>
      <x:c r="BE144" s="2" t="e">
        <x:f>IF(AE144="Blocked","No",IF(AJ144&lt;=[1]Model_Parameters!$B$20,"Yes","No"))</x:f>
        <x:v>#NAME?</x:v>
      </x:c>
      <x:c r="BF144" s="2" t="str">
        <x:f t="shared" si="13"/>
        <x:v>Yes</x:v>
      </x:c>
      <x:c r="BG144" s="2" t="str">
        <x:f t="shared" si="14"/>
        <x:v>Yes</x:v>
      </x:c>
      <x:c r="BH144" s="24" t="str">
        <x:v>20:45</x:v>
      </x:c>
      <x:c r="BI144" s="24" t="str">
        <x:v>24:00</x:v>
      </x:c>
    </x:row>
    <x:row r="145">
      <x:c r="A145" s="2" t="s">
        <x:v>59</x:v>
      </x:c>
      <x:c r="B145" s="3">
        <x:v>273</x:v>
      </x:c>
      <x:c r="C145" s="2" t="s">
        <x:v>606</x:v>
      </x:c>
      <x:c r="D145" s="2" t="s">
        <x:v>607</x:v>
      </x:c>
      <x:c r="E145" s="2" t="s">
        <x:v>62</x:v>
      </x:c>
      <x:c r="F145" s="2" t="s">
        <x:v>63</x:v>
      </x:c>
      <x:c r="G145" s="3">
        <x:v>115</x:v>
      </x:c>
      <x:c r="H145" s="3">
        <x:v>0</x:v>
      </x:c>
      <x:c r="I145" s="3">
        <x:v>120</x:v>
      </x:c>
      <x:c r="J145" s="4">
        <x:v>9.3023255813953487E-2</x:v>
      </x:c>
      <x:c r="K145" s="3">
        <x:v>0</x:v>
      </x:c>
      <x:c r="L145" s="2" t="s">
        <x:v>608</x:v>
      </x:c>
      <x:c r="M145" s="3">
        <x:v>1379</x:v>
      </x:c>
      <x:c r="N145" s="3">
        <x:v>92</x:v>
      </x:c>
      <x:c r="O145" s="5">
        <x:v>79.866096542915912</x:v>
      </x:c>
      <x:c r="P145" s="5">
        <x:v>15.694296286102229</x:v>
      </x:c>
      <x:c r="Q145" s="5"/>
      <x:c r="R145" s="5">
        <x:v>84.874240661451495</x:v>
      </x:c>
      <x:c r="S145" s="5">
        <x:f t="shared" si="10"/>
        <x:v>55.251321163151971</x:v>
      </x:c>
      <x:c r="T145" s="5">
        <x:f t="shared" si="11"/>
        <x:v>55.251321163151971</x:v>
      </x:c>
      <x:c r="U145" s="5" t="e">
        <x:f>T145/[1]Model_Parameters!$B$22</x:f>
        <x:v>#NAME?</x:v>
      </x:c>
      <x:c r="V145" s="5">
        <x:v>273.80842857934982</x:v>
      </x:c>
      <x:c r="W145" s="5">
        <x:v>273.80842857934982</x:v>
      </x:c>
      <x:c r="X145" s="5">
        <x:v>90.776683819384147</x:v>
      </x:c>
      <x:c r="Y145" s="3">
        <x:v>9</x:v>
      </x:c>
      <x:c r="Z145" s="3">
        <x:v>0</x:v>
      </x:c>
      <x:c r="AA145" s="3"/>
      <x:c r="AB145" s="2"/>
      <x:c r="AC145" s="3"/>
      <x:c r="AD145" s="3"/>
      <x:c r="AE145" s="2" t="s">
        <x:v>65</x:v>
      </x:c>
      <x:c r="AF145" s="3">
        <x:v>5</x:v>
      </x:c>
      <x:c r="AG145" s="3">
        <x:v>0</x:v>
      </x:c>
      <x:c r="AH145" s="2" t="s">
        <x:v>608</x:v>
      </x:c>
      <x:c r="AI145" s="3">
        <x:v>92</x:v>
      </x:c>
      <x:c r="AJ145" s="3">
        <x:v>0</x:v>
      </x:c>
      <x:c r="AK145" s="2" t="s">
        <x:v>66</x:v>
      </x:c>
      <x:c r="AL145" s="3">
        <x:v>0</x:v>
      </x:c>
      <x:c r="AM145" s="2" t="s">
        <x:v>609</x:v>
      </x:c>
      <x:c r="AN145" s="3">
        <x:v>93</x:v>
      </x:c>
      <x:c r="AO145" s="3">
        <x:v>15</x:v>
      </x:c>
      <x:c r="AP145" s="3">
        <x:v>15</x:v>
      </x:c>
      <x:c r="AQ145" s="5">
        <x:v>60.86510196063562</x:v>
      </x:c>
      <x:c r="AR145" s="5">
        <x:v>55.251321163151957</x:v>
      </x:c>
      <x:c r="AS145" s="5">
        <x:f t="shared" si="12"/>
        <x:v>99.999999999999972</x:v>
      </x:c>
      <x:c r="AT145" s="5">
        <x:v>243.46040784254251</x:v>
      </x:c>
      <x:c r="AU145" s="5">
        <x:v>273.80842857934982</x:v>
      </x:c>
      <x:c r="AV145" s="5">
        <x:v>84.874240661451495</x:v>
      </x:c>
      <x:c r="AW145" s="2" t="b">
        <x:v>0</x:v>
      </x:c>
      <x:c r="AX145" s="2"/>
      <x:c r="AY145" s="2" t="s">
        <x:v>68</x:v>
      </x:c>
      <x:c r="AZ145" s="6">
        <x:v>92</x:v>
      </x:c>
      <x:c r="BA145" s="6"/>
      <x:c r="BB145" s="7"/>
      <x:c r="BC145" s="7"/>
      <x:c r="BD145" s="8"/>
      <x:c r="BE145" s="2" t="e">
        <x:f>IF(AE145="Blocked","No",IF(AJ145&lt;=[1]Model_Parameters!$B$20,"Yes","No"))</x:f>
        <x:v>#NAME?</x:v>
      </x:c>
      <x:c r="BF145" s="2" t="str">
        <x:f t="shared" si="13"/>
        <x:v>Yes</x:v>
      </x:c>
      <x:c r="BG145" s="2" t="str">
        <x:f t="shared" si="14"/>
        <x:v>Yes</x:v>
      </x:c>
      <x:c r="BH145" s="24"/>
      <x:c r="BI145" s="24"/>
    </x:row>
    <x:row r="146">
      <x:c r="A146" s="2" t="s">
        <x:v>59</x:v>
      </x:c>
      <x:c r="B146" s="3">
        <x:v>274</x:v>
      </x:c>
      <x:c r="C146" s="2" t="s">
        <x:v>610</x:v>
      </x:c>
      <x:c r="D146" s="2" t="s">
        <x:v>611</x:v>
      </x:c>
      <x:c r="E146" s="2" t="s">
        <x:v>62</x:v>
      </x:c>
      <x:c r="F146" s="2" t="s">
        <x:v>63</x:v>
      </x:c>
      <x:c r="G146" s="3">
        <x:v>116</x:v>
      </x:c>
      <x:c r="H146" s="3">
        <x:v>0</x:v>
      </x:c>
      <x:c r="I146" s="3">
        <x:v>120</x:v>
      </x:c>
      <x:c r="J146" s="4">
        <x:v>2.3255813953488368E-2</x:v>
      </x:c>
      <x:c r="K146" s="3">
        <x:v>0</x:v>
      </x:c>
      <x:c r="L146" s="2" t="s">
        <x:v>612</x:v>
      </x:c>
      <x:c r="M146" s="3">
        <x:v>1401</x:v>
      </x:c>
      <x:c r="N146" s="3">
        <x:v>94</x:v>
      </x:c>
      <x:c r="O146" s="5">
        <x:v>80.543483749749967</x:v>
      </x:c>
      <x:c r="P146" s="5">
        <x:v>21.831133070847429</x:v>
      </x:c>
      <x:c r="Q146" s="5"/>
      <x:c r="R146" s="5">
        <x:v>75.388512282986483</x:v>
      </x:c>
      <x:c r="S146" s="5">
        <x:f t="shared" si="10"/>
        <x:v>43.136979022521182</x:v>
      </x:c>
      <x:c r="T146" s="5">
        <x:f t="shared" si="11"/>
        <x:v>43.136979022521182</x:v>
      </x:c>
      <x:c r="U146" s="5" t="e">
        <x:f>T146/[1]Model_Parameters!$B$22</x:f>
        <x:v>#NAME?</x:v>
      </x:c>
      <x:c r="V146" s="5">
        <x:v>250.52998798469821</x:v>
      </x:c>
      <x:c r="W146" s="5">
        <x:v>250.52998798469821</x:v>
      </x:c>
      <x:c r="X146" s="5">
        <x:v>92.363145537300326</x:v>
      </x:c>
      <x:c r="Y146" s="3">
        <x:v>0</x:v>
      </x:c>
      <x:c r="Z146" s="3">
        <x:v>0</x:v>
      </x:c>
      <x:c r="AA146" s="3"/>
      <x:c r="AB146" s="2"/>
      <x:c r="AC146" s="3"/>
      <x:c r="AD146" s="3"/>
      <x:c r="AE146" s="2" t="s">
        <x:v>65</x:v>
      </x:c>
      <x:c r="AF146" s="3">
        <x:v>6</x:v>
      </x:c>
      <x:c r="AG146" s="3">
        <x:v>0</x:v>
      </x:c>
      <x:c r="AH146" s="2" t="s">
        <x:v>612</x:v>
      </x:c>
      <x:c r="AI146" s="3">
        <x:v>94</x:v>
      </x:c>
      <x:c r="AJ146" s="3">
        <x:v>0</x:v>
      </x:c>
      <x:c r="AK146" s="2" t="s">
        <x:v>66</x:v>
      </x:c>
      <x:c r="AL146" s="3">
        <x:v>0</x:v>
      </x:c>
      <x:c r="AM146" s="2" t="s">
        <x:v>613</x:v>
      </x:c>
      <x:c r="AN146" s="3">
        <x:v>95</x:v>
      </x:c>
      <x:c r="AO146" s="3">
        <x:v>12</x:v>
      </x:c>
      <x:c r="AP146" s="3">
        <x:v>12</x:v>
      </x:c>
      <x:c r="AQ146" s="5">
        <x:v>46.703670356376691</x:v>
      </x:c>
      <x:c r="AR146" s="5">
        <x:v>43.136979022521203</x:v>
      </x:c>
      <x:c r="AS146" s="5">
        <x:f t="shared" si="12"/>
        <x:v>100.00000000000004</x:v>
      </x:c>
      <x:c r="AT146" s="5">
        <x:v>233.51835178188341</x:v>
      </x:c>
      <x:c r="AU146" s="5">
        <x:v>250.52998798469821</x:v>
      </x:c>
      <x:c r="AV146" s="5">
        <x:v>75.388512282986483</x:v>
      </x:c>
      <x:c r="AW146" s="2" t="b">
        <x:v>0</x:v>
      </x:c>
      <x:c r="AX146" s="2"/>
      <x:c r="AY146" s="2" t="s">
        <x:v>68</x:v>
      </x:c>
      <x:c r="AZ146" s="6">
        <x:v>94</x:v>
      </x:c>
      <x:c r="BA146" s="6"/>
      <x:c r="BB146" s="7"/>
      <x:c r="BC146" s="7"/>
      <x:c r="BD146" s="8"/>
      <x:c r="BE146" s="2" t="e">
        <x:f>IF(AE146="Blocked","No",IF(AJ146&lt;=[1]Model_Parameters!$B$20,"Yes","No"))</x:f>
        <x:v>#NAME?</x:v>
      </x:c>
      <x:c r="BF146" s="2" t="str">
        <x:f t="shared" si="13"/>
        <x:v>Yes</x:v>
      </x:c>
      <x:c r="BG146" s="2" t="str">
        <x:f t="shared" si="14"/>
        <x:v>Yes</x:v>
      </x:c>
      <x:c r="BH146" s="24"/>
      <x:c r="BI146" s="24"/>
    </x:row>
    <x:row r="147">
      <x:c r="A147" s="2" t="s">
        <x:v>59</x:v>
      </x:c>
      <x:c r="B147" s="3">
        <x:v>275</x:v>
      </x:c>
      <x:c r="C147" s="2" t="s">
        <x:v>614</x:v>
      </x:c>
      <x:c r="D147" s="2" t="s">
        <x:v>615</x:v>
      </x:c>
      <x:c r="E147" s="2" t="s">
        <x:v>79</x:v>
      </x:c>
      <x:c r="F147" s="2" t="s">
        <x:v>80</x:v>
      </x:c>
      <x:c r="G147" s="3">
        <x:v>30</x:v>
      </x:c>
      <x:c r="H147" s="3">
        <x:v>1</x:v>
      </x:c>
      <x:c r="I147" s="3">
        <x:v>30</x:v>
      </x:c>
      <x:c r="J147" s="4">
        <x:v>1.8315018315018309E-2</x:v>
      </x:c>
      <x:c r="K147" s="3">
        <x:v>0</x:v>
      </x:c>
      <x:c r="L147" s="2" t="s">
        <x:v>616</x:v>
      </x:c>
      <x:c r="M147" s="3">
        <x:v>1403</x:v>
      </x:c>
      <x:c r="N147" s="3">
        <x:v>94</x:v>
      </x:c>
      <x:c r="O147" s="5">
        <x:v>96.671596585337213</x:v>
      </x:c>
      <x:c r="P147" s="5">
        <x:v>59.23105248471996</x:v>
      </x:c>
      <x:c r="Q147" s="5"/>
      <x:c r="R147" s="5">
        <x:v>75.672636549014044</x:v>
      </x:c>
      <x:c r="S147" s="5">
        <x:f t="shared" si="10"/>
        <x:v>15.894341818873468</x:v>
      </x:c>
      <x:c r="T147" s="5">
        <x:f t="shared" si="11"/>
        <x:v>15.894341818873468</x:v>
      </x:c>
      <x:c r="U147" s="5" t="e">
        <x:f>T147/[1]Model_Parameters!$B$22</x:f>
        <x:v>#NAME?</x:v>
      </x:c>
      <x:c r="V147" s="5">
        <x:v>324.08272384860942</x:v>
      </x:c>
      <x:c r="W147" s="5">
        <x:v>324.08272384860942</x:v>
      </x:c>
      <x:c r="X147" s="5">
        <x:v>92.922207856176954</x:v>
      </x:c>
      <x:c r="Y147" s="3">
        <x:v>1</x:v>
      </x:c>
      <x:c r="Z147" s="3">
        <x:v>0</x:v>
      </x:c>
      <x:c r="AA147" s="3"/>
      <x:c r="AB147" s="2"/>
      <x:c r="AC147" s="3"/>
      <x:c r="AD147" s="3"/>
      <x:c r="AE147" s="2" t="s">
        <x:v>65</x:v>
      </x:c>
      <x:c r="AF147" s="3">
        <x:v>7</x:v>
      </x:c>
      <x:c r="AG147" s="3">
        <x:v>0</x:v>
      </x:c>
      <x:c r="AH147" s="2" t="s">
        <x:v>616</x:v>
      </x:c>
      <x:c r="AI147" s="3">
        <x:v>94</x:v>
      </x:c>
      <x:c r="AJ147" s="3">
        <x:v>0</x:v>
      </x:c>
      <x:c r="AK147" s="2" t="s">
        <x:v>66</x:v>
      </x:c>
      <x:c r="AL147" s="3">
        <x:v>0</x:v>
      </x:c>
      <x:c r="AM147" s="2" t="s">
        <x:v>617</x:v>
      </x:c>
      <x:c r="AN147" s="3">
        <x:v>94</x:v>
      </x:c>
      <x:c r="AO147" s="3">
        <x:v>4</x:v>
      </x:c>
      <x:c r="AP147" s="3">
        <x:v>4</x:v>
      </x:c>
      <x:c r="AQ147" s="5">
        <x:v>17.104998025309939</x:v>
      </x:c>
      <x:c r="AR147" s="5">
        <x:v>15.89434181887346</x:v>
      </x:c>
      <x:c r="AS147" s="5">
        <x:f t="shared" si="12"/>
        <x:v>99.999999999999957</x:v>
      </x:c>
      <x:c r="AT147" s="5">
        <x:v>256.57497037964902</x:v>
      </x:c>
      <x:c r="AU147" s="5">
        <x:v>324.08272384860942</x:v>
      </x:c>
      <x:c r="AV147" s="5">
        <x:v>75.672636549014044</x:v>
      </x:c>
      <x:c r="AW147" s="2" t="b">
        <x:v>0</x:v>
      </x:c>
      <x:c r="AX147" s="2"/>
      <x:c r="AY147" s="2" t="s">
        <x:v>83</x:v>
      </x:c>
      <x:c r="AZ147" s="6">
        <x:v>94</x:v>
      </x:c>
      <x:c r="BA147" s="6"/>
      <x:c r="BB147" s="7"/>
      <x:c r="BC147" s="7"/>
      <x:c r="BD147" s="8"/>
      <x:c r="BE147" s="2" t="e">
        <x:f>IF(AE147="Blocked","No",IF(AJ147&lt;=[1]Model_Parameters!$B$20,"Yes","No"))</x:f>
        <x:v>#NAME?</x:v>
      </x:c>
      <x:c r="BF147" s="2" t="str">
        <x:f t="shared" si="13"/>
        <x:v>Yes</x:v>
      </x:c>
      <x:c r="BG147" s="2" t="str">
        <x:f t="shared" si="14"/>
        <x:v>Yes</x:v>
      </x:c>
      <x:c r="BH147" s="24" t="str">
        <x:v>21:15</x:v>
      </x:c>
      <x:c r="BI147" s="24" t="str">
        <x:v>24:00</x:v>
      </x:c>
    </x:row>
    <x:row r="148">
      <x:c r="A148" s="2" t="s">
        <x:v>59</x:v>
      </x:c>
      <x:c r="B148" s="3">
        <x:v>276</x:v>
      </x:c>
      <x:c r="C148" s="2" t="s">
        <x:v>618</x:v>
      </x:c>
      <x:c r="D148" s="2" t="s">
        <x:v>619</x:v>
      </x:c>
      <x:c r="E148" s="2" t="s">
        <x:v>62</x:v>
      </x:c>
      <x:c r="F148" s="2" t="s">
        <x:v>63</x:v>
      </x:c>
      <x:c r="G148" s="3">
        <x:v>117</x:v>
      </x:c>
      <x:c r="H148" s="3">
        <x:v>0</x:v>
      </x:c>
      <x:c r="I148" s="3">
        <x:v>120</x:v>
      </x:c>
      <x:c r="J148" s="4">
        <x:v>2.3255813953488368E-2</x:v>
      </x:c>
      <x:c r="K148" s="3">
        <x:v>0</x:v>
      </x:c>
      <x:c r="L148" s="2" t="s">
        <x:v>620</x:v>
      </x:c>
      <x:c r="M148" s="3">
        <x:v>1415</x:v>
      </x:c>
      <x:c r="N148" s="3">
        <x:v>95</x:v>
      </x:c>
      <x:c r="O148" s="5">
        <x:v>90.703653941340718</x:v>
      </x:c>
      <x:c r="P148" s="5">
        <x:v>25.15411786460864</x:v>
      </x:c>
      <x:c r="Q148" s="5"/>
      <x:c r="R148" s="5">
        <x:v>89.734986721038396</x:v>
      </x:c>
      <x:c r="S148" s="5">
        <x:f t="shared" si="10"/>
        <x:v>58.57720779984713</x:v>
      </x:c>
      <x:c r="T148" s="5">
        <x:f t="shared" si="11"/>
        <x:v>58.57720779984713</x:v>
      </x:c>
      <x:c r="U148" s="5" t="e">
        <x:f>T148/[1]Model_Parameters!$B$22</x:f>
        <x:v>#NAME?</x:v>
      </x:c>
      <x:c r="V148" s="5">
        <x:v>257.50412848359832</x:v>
      </x:c>
      <x:c r="W148" s="5">
        <x:v>257.50412848359832</x:v>
      </x:c>
      <x:c r="X148" s="5">
        <x:v>92.069533055278001</x:v>
      </x:c>
      <x:c r="Y148" s="3">
        <x:v>0</x:v>
      </x:c>
      <x:c r="Z148" s="3">
        <x:v>0</x:v>
      </x:c>
      <x:c r="AA148" s="3"/>
      <x:c r="AB148" s="2"/>
      <x:c r="AC148" s="3"/>
      <x:c r="AD148" s="3"/>
      <x:c r="AE148" s="2" t="s">
        <x:v>65</x:v>
      </x:c>
      <x:c r="AF148" s="3">
        <x:v>8</x:v>
      </x:c>
      <x:c r="AG148" s="3">
        <x:v>0</x:v>
      </x:c>
      <x:c r="AH148" s="2" t="s">
        <x:v>620</x:v>
      </x:c>
      <x:c r="AI148" s="3">
        <x:v>95</x:v>
      </x:c>
      <x:c r="AJ148" s="3">
        <x:v>0</x:v>
      </x:c>
      <x:c r="AK148" s="2" t="s">
        <x:v>66</x:v>
      </x:c>
      <x:c r="AL148" s="3">
        <x:v>0</x:v>
      </x:c>
      <x:c r="AM148" s="2" t="s">
        <x:v>621</x:v>
      </x:c>
      <x:c r="AN148" s="3">
        <x:v>96</x:v>
      </x:c>
      <x:c r="AO148" s="3">
        <x:v>19</x:v>
      </x:c>
      <x:c r="AP148" s="3">
        <x:v>19</x:v>
      </x:c>
      <x:c r="AQ148" s="5">
        <x:v>63.622792313585137</x:v>
      </x:c>
      <x:c r="AR148" s="5">
        <x:v>58.577207799847137</x:v>
      </x:c>
      <x:c r="AS148" s="5">
        <x:f t="shared" si="12"/>
        <x:v>100.00000000000003</x:v>
      </x:c>
      <x:c r="AT148" s="5">
        <x:v>200.9140809902689</x:v>
      </x:c>
      <x:c r="AU148" s="5">
        <x:v>257.50412848359832</x:v>
      </x:c>
      <x:c r="AV148" s="5">
        <x:v>89.734986721038396</x:v>
      </x:c>
      <x:c r="AW148" s="2" t="b">
        <x:v>0</x:v>
      </x:c>
      <x:c r="AX148" s="2"/>
      <x:c r="AY148" s="2" t="s">
        <x:v>68</x:v>
      </x:c>
      <x:c r="AZ148" s="6">
        <x:v>95</x:v>
      </x:c>
      <x:c r="BA148" s="6"/>
      <x:c r="BB148" s="7"/>
      <x:c r="BC148" s="7"/>
      <x:c r="BD148" s="8"/>
      <x:c r="BE148" s="2" t="e">
        <x:f>IF(AE148="Blocked","No",IF(AJ148&lt;=[1]Model_Parameters!$B$20,"Yes","No"))</x:f>
        <x:v>#NAME?</x:v>
      </x:c>
      <x:c r="BF148" s="2" t="str">
        <x:f t="shared" si="13"/>
        <x:v>Yes</x:v>
      </x:c>
      <x:c r="BG148" s="2" t="str">
        <x:f t="shared" si="14"/>
        <x:v>Yes</x:v>
      </x:c>
      <x:c r="BH148" s="24"/>
      <x:c r="BI148" s="24"/>
    </x:row>
    <x:row r="149">
      <x:c r="A149" s="2" t="s">
        <x:v>59</x:v>
      </x:c>
      <x:c r="B149" s="3">
        <x:v>277</x:v>
      </x:c>
      <x:c r="C149" s="2" t="s">
        <x:v>622</x:v>
      </x:c>
      <x:c r="D149" s="2" t="s">
        <x:v>623</x:v>
      </x:c>
      <x:c r="E149" s="2" t="s">
        <x:v>62</x:v>
      </x:c>
      <x:c r="F149" s="2" t="s">
        <x:v>63</x:v>
      </x:c>
      <x:c r="G149" s="3">
        <x:v>118</x:v>
      </x:c>
      <x:c r="H149" s="3">
        <x:v>0</x:v>
      </x:c>
      <x:c r="I149" s="3">
        <x:v>120</x:v>
      </x:c>
      <x:c r="J149" s="4">
        <x:v>2.3255813953488368E-2</x:v>
      </x:c>
      <x:c r="K149" s="3">
        <x:v>0</x:v>
      </x:c>
      <x:c r="L149" s="2" t="s">
        <x:v>624</x:v>
      </x:c>
      <x:c r="M149" s="3">
        <x:v>1423</x:v>
      </x:c>
      <x:c r="N149" s="3">
        <x:v>95</x:v>
      </x:c>
      <x:c r="O149" s="5">
        <x:v>97.994732088124451</x:v>
      </x:c>
      <x:c r="P149" s="5">
        <x:v>7.5800490672285417</x:v>
      </x:c>
      <x:c r="Q149" s="5"/>
      <x:c r="R149" s="5">
        <x:v>61.41905935841293</x:v>
      </x:c>
      <x:c r="S149" s="5">
        <x:f t="shared" si="10"/>
        <x:v>52.759393893743891</x:v>
      </x:c>
      <x:c r="T149" s="5">
        <x:f t="shared" si="11"/>
        <x:v>52.759393893743891</x:v>
      </x:c>
      <x:c r="U149" s="5" t="e">
        <x:f>T149/[1]Model_Parameters!$B$22</x:f>
        <x:v>#NAME?</x:v>
      </x:c>
      <x:c r="V149" s="5">
        <x:v>178.6717730911582</x:v>
      </x:c>
      <x:c r="W149" s="5">
        <x:v>178.6717730911582</x:v>
      </x:c>
      <x:c r="X149" s="5">
        <x:v>93.431534623847369</x:v>
      </x:c>
      <x:c r="Y149" s="3">
        <x:v>1</x:v>
      </x:c>
      <x:c r="Z149" s="3">
        <x:v>0</x:v>
      </x:c>
      <x:c r="AA149" s="3"/>
      <x:c r="AB149" s="2"/>
      <x:c r="AC149" s="3"/>
      <x:c r="AD149" s="3"/>
      <x:c r="AE149" s="2" t="s">
        <x:v>65</x:v>
      </x:c>
      <x:c r="AF149" s="3">
        <x:v>9</x:v>
      </x:c>
      <x:c r="AG149" s="3">
        <x:v>0</x:v>
      </x:c>
      <x:c r="AH149" s="2" t="s">
        <x:v>624</x:v>
      </x:c>
      <x:c r="AI149" s="3">
        <x:v>95</x:v>
      </x:c>
      <x:c r="AJ149" s="3">
        <x:v>0</x:v>
      </x:c>
      <x:c r="AK149" s="2" t="s">
        <x:v>66</x:v>
      </x:c>
      <x:c r="AL149" s="3">
        <x:v>1</x:v>
      </x:c>
      <x:c r="AM149" s="2" t="s">
        <x:v>625</x:v>
      </x:c>
      <x:c r="AN149" s="3">
        <x:v>1</x:v>
      </x:c>
      <x:c r="AO149" s="3">
        <x:v>19</x:v>
      </x:c>
      <x:c r="AP149" s="3">
        <x:v>19</x:v>
      </x:c>
      <x:c r="AQ149" s="5">
        <x:v>56.468508310552423</x:v>
      </x:c>
      <x:c r="AR149" s="5">
        <x:v>52.75939389374394</x:v>
      </x:c>
      <x:c r="AS149" s="5">
        <x:f t="shared" si="12"/>
        <x:v>100.00000000000009</x:v>
      </x:c>
      <x:c r="AT149" s="5">
        <x:v>178.3216051912182</x:v>
      </x:c>
      <x:c r="AU149" s="5">
        <x:v>178.6717730911582</x:v>
      </x:c>
      <x:c r="AV149" s="5">
        <x:v>61.41905935841293</x:v>
      </x:c>
      <x:c r="AW149" s="2" t="b">
        <x:v>1</x:v>
      </x:c>
      <x:c r="AX149" s="2"/>
      <x:c r="AY149" s="2" t="s">
        <x:v>68</x:v>
      </x:c>
      <x:c r="AZ149" s="6">
        <x:v>95</x:v>
      </x:c>
      <x:c r="BA149" s="6"/>
      <x:c r="BB149" s="7"/>
      <x:c r="BC149" s="7"/>
      <x:c r="BD149" s="8"/>
      <x:c r="BE149" s="2" t="e">
        <x:f>IF(AE149="Blocked","No",IF(AJ149&lt;=[1]Model_Parameters!$B$20,"Yes","No"))</x:f>
        <x:v>#NAME?</x:v>
      </x:c>
      <x:c r="BF149" s="2" t="str">
        <x:f t="shared" si="13"/>
        <x:v>Yes</x:v>
      </x:c>
      <x:c r="BG149" s="2" t="str">
        <x:f t="shared" si="14"/>
        <x:v>Yes</x:v>
      </x:c>
      <x:c r="BH149" s="24"/>
      <x:c r="BI149" s="24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>
        <x:f t="shared" si="10"/>
      </x:c>
      <x:c r="T150">
        <x:f t="shared" si="11"/>
      </x:c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>
        <x:f t="shared" si="12"/>
      </x:c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>
        <x:f t="shared" si="13"/>
      </x:c>
      <x:c r="BG150">
        <x:f t="shared" si="14"/>
      </x:c>
      <x:c r="BH150"/>
      <x:c r="BI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>
        <x:f t="shared" si="10"/>
      </x:c>
      <x:c r="T151">
        <x:f t="shared" si="11"/>
      </x:c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>
        <x:f t="shared" si="12"/>
      </x:c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>
        <x:f t="shared" si="13"/>
      </x:c>
      <x:c r="BG151">
        <x:f t="shared" si="14"/>
      </x:c>
      <x:c r="BH151"/>
      <x:c r="BI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>
        <x:f t="shared" si="10"/>
      </x:c>
      <x:c r="T152">
        <x:f t="shared" si="11"/>
      </x:c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>
        <x:f t="shared" si="12"/>
      </x:c>
      <x:c r="AT152"/>
      <x:c r="AU152"/>
      <x:c r="AV152"/>
      <x:c r="AW152"/>
      <x:c r="AX152"/>
      <x:c r="AY152"/>
      <x:c r="AZ152"/>
      <x:c r="BA152"/>
      <x:c r="BB152"/>
      <x:c r="BC152"/>
      <x:c r="BD152"/>
      <x:c r="BE152"/>
      <x:c r="BF152">
        <x:f t="shared" si="13"/>
      </x:c>
      <x:c r="BG152">
        <x:f t="shared" si="14"/>
      </x:c>
      <x:c r="BH152"/>
      <x:c r="BI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>
        <x:f t="shared" si="10"/>
      </x:c>
      <x:c r="T153">
        <x:f t="shared" si="11"/>
      </x:c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>
        <x:f t="shared" si="12"/>
      </x:c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>
        <x:f t="shared" si="13"/>
      </x:c>
      <x:c r="BG153">
        <x:f t="shared" si="14"/>
      </x:c>
      <x:c r="BH153"/>
      <x:c r="BI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>
        <x:f t="shared" si="10"/>
      </x:c>
      <x:c r="T154">
        <x:f t="shared" si="11"/>
      </x:c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>
        <x:f t="shared" si="12"/>
      </x:c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>
        <x:f t="shared" si="13"/>
      </x:c>
      <x:c r="BG154">
        <x:f t="shared" si="14"/>
      </x:c>
      <x:c r="BH154"/>
      <x:c r="BI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>
        <x:f t="shared" si="10"/>
      </x:c>
      <x:c r="T155">
        <x:f t="shared" si="11"/>
      </x:c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>
        <x:f t="shared" si="12"/>
      </x:c>
      <x:c r="AT155"/>
      <x:c r="AU155"/>
      <x:c r="AV155"/>
      <x:c r="AW155"/>
      <x:c r="AX155"/>
      <x:c r="AY155"/>
      <x:c r="AZ155"/>
      <x:c r="BA155"/>
      <x:c r="BB155"/>
      <x:c r="BC155"/>
      <x:c r="BD155"/>
      <x:c r="BE155"/>
      <x:c r="BF155">
        <x:f t="shared" si="13"/>
      </x:c>
      <x:c r="BG155">
        <x:f t="shared" si="14"/>
      </x:c>
      <x:c r="BH155"/>
      <x:c r="BI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>
        <x:f t="shared" si="10"/>
      </x:c>
      <x:c r="T156">
        <x:f t="shared" si="11"/>
      </x:c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>
        <x:f t="shared" si="12"/>
      </x:c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>
        <x:f t="shared" si="13"/>
      </x:c>
      <x:c r="BG156">
        <x:f t="shared" si="14"/>
      </x:c>
      <x:c r="BH156"/>
      <x:c r="BI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>
        <x:f t="shared" si="10"/>
      </x:c>
      <x:c r="T157">
        <x:f t="shared" si="11"/>
      </x:c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>
        <x:f t="shared" si="12"/>
      </x:c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>
        <x:f t="shared" si="13"/>
      </x:c>
      <x:c r="BG157">
        <x:f t="shared" si="14"/>
      </x:c>
      <x:c r="BH157"/>
      <x:c r="BI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>
        <x:f t="shared" si="10"/>
      </x:c>
      <x:c r="T158">
        <x:f t="shared" si="11"/>
      </x:c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>
        <x:f t="shared" si="12"/>
      </x:c>
      <x:c r="AT158"/>
      <x:c r="AU158"/>
      <x:c r="AV158"/>
      <x:c r="AW158"/>
      <x:c r="AX158"/>
      <x:c r="AY158"/>
      <x:c r="AZ158"/>
      <x:c r="BA158"/>
      <x:c r="BB158"/>
      <x:c r="BC158"/>
      <x:c r="BD158"/>
      <x:c r="BE158"/>
      <x:c r="BF158">
        <x:f t="shared" si="13"/>
      </x:c>
      <x:c r="BG158">
        <x:f t="shared" si="14"/>
      </x:c>
      <x:c r="BH158"/>
      <x:c r="BI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>
        <x:f t="shared" si="10"/>
      </x:c>
      <x:c r="T159">
        <x:f t="shared" si="11"/>
      </x:c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>
        <x:f t="shared" si="12"/>
      </x:c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>
        <x:f t="shared" si="13"/>
      </x:c>
      <x:c r="BG159">
        <x:f t="shared" si="14"/>
      </x:c>
      <x:c r="BH159"/>
      <x:c r="BI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>
        <x:f t="shared" si="10"/>
      </x:c>
      <x:c r="T160">
        <x:f t="shared" si="11"/>
      </x:c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>
        <x:f t="shared" si="12"/>
      </x:c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  <x:c r="BF160">
        <x:f t="shared" si="13"/>
      </x:c>
      <x:c r="BG160">
        <x:f t="shared" si="14"/>
      </x:c>
      <x:c r="BH160"/>
      <x:c r="BI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>
        <x:f t="shared" si="10"/>
      </x:c>
      <x:c r="T161">
        <x:f t="shared" si="11"/>
      </x:c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/>
      <x:c r="AN161"/>
      <x:c r="AO161"/>
      <x:c r="AP161"/>
      <x:c r="AQ161"/>
      <x:c r="AR161"/>
      <x:c r="AS161">
        <x:f t="shared" si="12"/>
      </x:c>
      <x:c r="AT161"/>
      <x:c r="AU161"/>
      <x:c r="AV161"/>
      <x:c r="AW161"/>
      <x:c r="AX161"/>
      <x:c r="AY161"/>
      <x:c r="AZ161"/>
      <x:c r="BA161"/>
      <x:c r="BB161"/>
      <x:c r="BC161"/>
      <x:c r="BD161"/>
      <x:c r="BE161"/>
      <x:c r="BF161">
        <x:f t="shared" si="13"/>
      </x:c>
      <x:c r="BG161">
        <x:f t="shared" si="14"/>
      </x:c>
      <x:c r="BH161"/>
      <x:c r="BI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>
        <x:f t="shared" si="10"/>
      </x:c>
      <x:c r="T162">
        <x:f t="shared" si="11"/>
      </x:c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>
        <x:f t="shared" si="12"/>
      </x:c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>
        <x:f t="shared" si="13"/>
      </x:c>
      <x:c r="BG162">
        <x:f t="shared" si="14"/>
      </x:c>
      <x:c r="BH162"/>
      <x:c r="BI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>
        <x:f t="shared" si="10"/>
      </x:c>
      <x:c r="T163">
        <x:f t="shared" si="11"/>
      </x:c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>
        <x:f t="shared" si="12"/>
      </x:c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>
        <x:f t="shared" si="13"/>
      </x:c>
      <x:c r="BG163">
        <x:f t="shared" si="14"/>
      </x:c>
      <x:c r="BH163"/>
      <x:c r="BI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>
        <x:f t="shared" si="10"/>
      </x:c>
      <x:c r="T164">
        <x:f t="shared" si="11"/>
      </x:c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/>
      <x:c r="AN164"/>
      <x:c r="AO164"/>
      <x:c r="AP164"/>
      <x:c r="AQ164"/>
      <x:c r="AR164"/>
      <x:c r="AS164">
        <x:f t="shared" si="12"/>
      </x:c>
      <x:c r="AT164"/>
      <x:c r="AU164"/>
      <x:c r="AV164"/>
      <x:c r="AW164"/>
      <x:c r="AX164"/>
      <x:c r="AY164"/>
      <x:c r="AZ164"/>
      <x:c r="BA164"/>
      <x:c r="BB164"/>
      <x:c r="BC164"/>
      <x:c r="BD164"/>
      <x:c r="BE164"/>
      <x:c r="BF164">
        <x:f t="shared" si="13"/>
      </x:c>
      <x:c r="BG164">
        <x:f t="shared" si="14"/>
      </x:c>
      <x:c r="BH164"/>
      <x:c r="BI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>
        <x:f t="shared" si="10"/>
      </x:c>
      <x:c r="T165">
        <x:f t="shared" si="11"/>
      </x:c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>
        <x:f t="shared" si="12"/>
      </x:c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>
        <x:f t="shared" si="13"/>
      </x:c>
      <x:c r="BG165">
        <x:f t="shared" si="14"/>
      </x:c>
      <x:c r="BH165"/>
      <x:c r="BI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>
        <x:f t="shared" si="10"/>
      </x:c>
      <x:c r="T166">
        <x:f t="shared" si="11"/>
      </x:c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>
        <x:f t="shared" si="12"/>
      </x:c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>
        <x:f t="shared" si="13"/>
      </x:c>
      <x:c r="BG166">
        <x:f t="shared" si="14"/>
      </x:c>
      <x:c r="BH166"/>
      <x:c r="BI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>
        <x:f t="shared" si="10"/>
      </x:c>
      <x:c r="T167">
        <x:f t="shared" si="11"/>
      </x:c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/>
      <x:c r="AN167"/>
      <x:c r="AO167"/>
      <x:c r="AP167"/>
      <x:c r="AQ167"/>
      <x:c r="AR167"/>
      <x:c r="AS167">
        <x:f t="shared" si="12"/>
      </x:c>
      <x:c r="AT167"/>
      <x:c r="AU167"/>
      <x:c r="AV167"/>
      <x:c r="AW167"/>
      <x:c r="AX167"/>
      <x:c r="AY167"/>
      <x:c r="AZ167"/>
      <x:c r="BA167"/>
      <x:c r="BB167"/>
      <x:c r="BC167"/>
      <x:c r="BD167"/>
      <x:c r="BE167"/>
      <x:c r="BF167">
        <x:f t="shared" si="13"/>
      </x:c>
      <x:c r="BG167">
        <x:f t="shared" si="14"/>
      </x:c>
      <x:c r="BH167"/>
      <x:c r="BI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>
        <x:f t="shared" si="10"/>
      </x:c>
      <x:c r="T168">
        <x:f t="shared" si="11"/>
      </x:c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>
        <x:f t="shared" si="12"/>
      </x:c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>
        <x:f t="shared" si="13"/>
      </x:c>
      <x:c r="BG168">
        <x:f t="shared" si="14"/>
      </x:c>
      <x:c r="BH168"/>
      <x:c r="BI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>
        <x:f t="shared" si="10"/>
      </x:c>
      <x:c r="T169">
        <x:f t="shared" si="11"/>
      </x:c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/>
      <x:c r="AR169"/>
      <x:c r="AS169">
        <x:f t="shared" si="12"/>
      </x:c>
      <x:c r="AT169"/>
      <x:c r="AU169"/>
      <x:c r="AV169"/>
      <x:c r="AW169"/>
      <x:c r="AX169"/>
      <x:c r="AY169"/>
      <x:c r="AZ169"/>
      <x:c r="BA169"/>
      <x:c r="BB169"/>
      <x:c r="BC169"/>
      <x:c r="BD169"/>
      <x:c r="BE169"/>
      <x:c r="BF169">
        <x:f t="shared" si="13"/>
      </x:c>
      <x:c r="BG169">
        <x:f t="shared" si="14"/>
      </x:c>
      <x:c r="BH169"/>
      <x:c r="BI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>
        <x:f t="shared" si="10"/>
      </x:c>
      <x:c r="T170">
        <x:f t="shared" si="11"/>
      </x:c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/>
      <x:c r="AN170"/>
      <x:c r="AO170"/>
      <x:c r="AP170"/>
      <x:c r="AQ170"/>
      <x:c r="AR170"/>
      <x:c r="AS170">
        <x:f t="shared" si="12"/>
      </x:c>
      <x:c r="AT170"/>
      <x:c r="AU170"/>
      <x:c r="AV170"/>
      <x:c r="AW170"/>
      <x:c r="AX170"/>
      <x:c r="AY170"/>
      <x:c r="AZ170"/>
      <x:c r="BA170"/>
      <x:c r="BB170"/>
      <x:c r="BC170"/>
      <x:c r="BD170"/>
      <x:c r="BE170"/>
      <x:c r="BF170">
        <x:f t="shared" si="13"/>
      </x:c>
      <x:c r="BG170">
        <x:f t="shared" si="14"/>
      </x:c>
      <x:c r="BH170"/>
      <x:c r="BI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>
        <x:f t="shared" si="10"/>
      </x:c>
      <x:c r="T171">
        <x:f t="shared" si="11"/>
      </x:c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>
        <x:f t="shared" si="12"/>
      </x:c>
      <x:c r="AT171"/>
      <x:c r="AU171"/>
      <x:c r="AV171"/>
      <x:c r="AW171"/>
      <x:c r="AX171"/>
      <x:c r="AY171"/>
      <x:c r="AZ171"/>
      <x:c r="BA171"/>
      <x:c r="BB171"/>
      <x:c r="BC171"/>
      <x:c r="BD171"/>
      <x:c r="BE171"/>
      <x:c r="BF171">
        <x:f t="shared" si="13"/>
      </x:c>
      <x:c r="BG171">
        <x:f t="shared" si="14"/>
      </x:c>
      <x:c r="BH171"/>
      <x:c r="BI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>
        <x:f t="shared" si="10"/>
      </x:c>
      <x:c r="T172">
        <x:f t="shared" si="11"/>
      </x:c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/>
      <x:c r="AR172"/>
      <x:c r="AS172">
        <x:f t="shared" si="12"/>
      </x:c>
      <x:c r="AT172"/>
      <x:c r="AU172"/>
      <x:c r="AV172"/>
      <x:c r="AW172"/>
      <x:c r="AX172"/>
      <x:c r="AY172"/>
      <x:c r="AZ172"/>
      <x:c r="BA172"/>
      <x:c r="BB172"/>
      <x:c r="BC172"/>
      <x:c r="BD172"/>
      <x:c r="BE172"/>
      <x:c r="BF172">
        <x:f t="shared" si="13"/>
      </x:c>
      <x:c r="BG172">
        <x:f t="shared" si="14"/>
      </x:c>
      <x:c r="BH172"/>
      <x:c r="BI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>
        <x:f t="shared" si="10"/>
      </x:c>
      <x:c r="T173">
        <x:f t="shared" si="11"/>
      </x:c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/>
      <x:c r="AN173"/>
      <x:c r="AO173"/>
      <x:c r="AP173"/>
      <x:c r="AQ173"/>
      <x:c r="AR173"/>
      <x:c r="AS173">
        <x:f t="shared" si="12"/>
      </x:c>
      <x:c r="AT173"/>
      <x:c r="AU173"/>
      <x:c r="AV173"/>
      <x:c r="AW173"/>
      <x:c r="AX173"/>
      <x:c r="AY173"/>
      <x:c r="AZ173"/>
      <x:c r="BA173"/>
      <x:c r="BB173"/>
      <x:c r="BC173"/>
      <x:c r="BD173"/>
      <x:c r="BE173"/>
      <x:c r="BF173">
        <x:f t="shared" si="13"/>
      </x:c>
      <x:c r="BG173">
        <x:f t="shared" si="14"/>
      </x:c>
      <x:c r="BH173"/>
      <x:c r="BI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>
        <x:f t="shared" si="10"/>
      </x:c>
      <x:c r="T174">
        <x:f t="shared" si="11"/>
      </x:c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>
        <x:f t="shared" si="12"/>
      </x:c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  <x:c r="BF174">
        <x:f t="shared" si="13"/>
      </x:c>
      <x:c r="BG174">
        <x:f t="shared" si="14"/>
      </x:c>
      <x:c r="BH174"/>
      <x:c r="BI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>
        <x:f t="shared" si="10"/>
      </x:c>
      <x:c r="T175">
        <x:f t="shared" si="11"/>
      </x:c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>
        <x:f t="shared" si="12"/>
      </x:c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  <x:c r="BF175">
        <x:f t="shared" si="13"/>
      </x:c>
      <x:c r="BG175">
        <x:f t="shared" si="14"/>
      </x:c>
      <x:c r="BH175"/>
      <x:c r="BI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>
        <x:f t="shared" si="10"/>
      </x:c>
      <x:c r="T176">
        <x:f t="shared" si="11"/>
      </x:c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/>
      <x:c r="AN176"/>
      <x:c r="AO176"/>
      <x:c r="AP176"/>
      <x:c r="AQ176"/>
      <x:c r="AR176"/>
      <x:c r="AS176">
        <x:f t="shared" si="12"/>
      </x:c>
      <x:c r="AT176"/>
      <x:c r="AU176"/>
      <x:c r="AV176"/>
      <x:c r="AW176"/>
      <x:c r="AX176"/>
      <x:c r="AY176"/>
      <x:c r="AZ176"/>
      <x:c r="BA176"/>
      <x:c r="BB176"/>
      <x:c r="BC176"/>
      <x:c r="BD176"/>
      <x:c r="BE176"/>
      <x:c r="BF176">
        <x:f t="shared" si="13"/>
      </x:c>
      <x:c r="BG176">
        <x:f t="shared" si="14"/>
      </x:c>
      <x:c r="BH176"/>
      <x:c r="BI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>
        <x:f t="shared" si="10"/>
      </x:c>
      <x:c r="T177">
        <x:f t="shared" si="11"/>
      </x:c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/>
      <x:c r="AR177"/>
      <x:c r="AS177">
        <x:f t="shared" si="12"/>
      </x:c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  <x:c r="BF177">
        <x:f t="shared" si="13"/>
      </x:c>
      <x:c r="BG177">
        <x:f t="shared" si="14"/>
      </x:c>
      <x:c r="BH177"/>
      <x:c r="BI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>
        <x:f t="shared" si="10"/>
      </x:c>
      <x:c r="T178">
        <x:f t="shared" si="11"/>
      </x:c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>
        <x:f t="shared" si="12"/>
      </x:c>
      <x:c r="AT178"/>
      <x:c r="AU178"/>
      <x:c r="AV178"/>
      <x:c r="AW178"/>
      <x:c r="AX178"/>
      <x:c r="AY178"/>
      <x:c r="AZ178"/>
      <x:c r="BA178"/>
      <x:c r="BB178"/>
      <x:c r="BC178"/>
      <x:c r="BD178"/>
      <x:c r="BE178"/>
      <x:c r="BF178">
        <x:f t="shared" si="13"/>
      </x:c>
      <x:c r="BG178">
        <x:f t="shared" si="14"/>
      </x:c>
      <x:c r="BH178"/>
      <x:c r="BI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>
        <x:f t="shared" si="10"/>
      </x:c>
      <x:c r="T179">
        <x:f t="shared" si="11"/>
      </x:c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/>
      <x:c r="AN179"/>
      <x:c r="AO179"/>
      <x:c r="AP179"/>
      <x:c r="AQ179"/>
      <x:c r="AR179"/>
      <x:c r="AS179">
        <x:f t="shared" si="12"/>
      </x:c>
      <x:c r="AT179"/>
      <x:c r="AU179"/>
      <x:c r="AV179"/>
      <x:c r="AW179"/>
      <x:c r="AX179"/>
      <x:c r="AY179"/>
      <x:c r="AZ179"/>
      <x:c r="BA179"/>
      <x:c r="BB179"/>
      <x:c r="BC179"/>
      <x:c r="BD179"/>
      <x:c r="BE179"/>
      <x:c r="BF179">
        <x:f t="shared" si="13"/>
      </x:c>
      <x:c r="BG179">
        <x:f t="shared" si="14"/>
      </x:c>
      <x:c r="BH179"/>
      <x:c r="BI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>
        <x:f t="shared" si="10"/>
      </x:c>
      <x:c r="T180">
        <x:f t="shared" si="11"/>
      </x:c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>
        <x:f t="shared" si="12"/>
      </x:c>
      <x:c r="AT180"/>
      <x:c r="AU180"/>
      <x:c r="AV180"/>
      <x:c r="AW180"/>
      <x:c r="AX180"/>
      <x:c r="AY180"/>
      <x:c r="AZ180"/>
      <x:c r="BA180"/>
      <x:c r="BB180"/>
      <x:c r="BC180"/>
      <x:c r="BD180"/>
      <x:c r="BE180"/>
      <x:c r="BF180">
        <x:f t="shared" si="13"/>
      </x:c>
      <x:c r="BG180">
        <x:f t="shared" si="14"/>
      </x:c>
      <x:c r="BH180"/>
      <x:c r="BI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>
        <x:f t="shared" si="10"/>
      </x:c>
      <x:c r="T181">
        <x:f t="shared" si="11"/>
      </x:c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>
        <x:f t="shared" si="12"/>
      </x:c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>
        <x:f t="shared" si="13"/>
      </x:c>
      <x:c r="BG181">
        <x:f t="shared" si="14"/>
      </x:c>
      <x:c r="BH181"/>
      <x:c r="BI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>
        <x:f t="shared" si="10"/>
      </x:c>
      <x:c r="T182">
        <x:f t="shared" si="11"/>
      </x:c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/>
      <x:c r="AN182"/>
      <x:c r="AO182"/>
      <x:c r="AP182"/>
      <x:c r="AQ182"/>
      <x:c r="AR182"/>
      <x:c r="AS182">
        <x:f t="shared" si="12"/>
      </x:c>
      <x:c r="AT182"/>
      <x:c r="AU182"/>
      <x:c r="AV182"/>
      <x:c r="AW182"/>
      <x:c r="AX182"/>
      <x:c r="AY182"/>
      <x:c r="AZ182"/>
      <x:c r="BA182"/>
      <x:c r="BB182"/>
      <x:c r="BC182"/>
      <x:c r="BD182"/>
      <x:c r="BE182"/>
      <x:c r="BF182">
        <x:f t="shared" si="13"/>
      </x:c>
      <x:c r="BG182">
        <x:f t="shared" si="14"/>
      </x:c>
      <x:c r="BH182"/>
      <x:c r="BI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>
        <x:f t="shared" si="10"/>
      </x:c>
      <x:c r="T183">
        <x:f t="shared" si="11"/>
      </x:c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>
        <x:f t="shared" si="12"/>
      </x:c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>
        <x:f t="shared" si="13"/>
      </x:c>
      <x:c r="BG183">
        <x:f t="shared" si="14"/>
      </x:c>
      <x:c r="BH183"/>
      <x:c r="BI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>
        <x:f t="shared" si="10"/>
      </x:c>
      <x:c r="T184">
        <x:f t="shared" si="11"/>
      </x:c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/>
      <x:c r="AR184"/>
      <x:c r="AS184">
        <x:f t="shared" si="12"/>
      </x:c>
      <x:c r="AT184"/>
      <x:c r="AU184"/>
      <x:c r="AV184"/>
      <x:c r="AW184"/>
      <x:c r="AX184"/>
      <x:c r="AY184"/>
      <x:c r="AZ184"/>
      <x:c r="BA184"/>
      <x:c r="BB184"/>
      <x:c r="BC184"/>
      <x:c r="BD184"/>
      <x:c r="BE184"/>
      <x:c r="BF184">
        <x:f t="shared" si="13"/>
      </x:c>
      <x:c r="BG184">
        <x:f t="shared" si="14"/>
      </x:c>
      <x:c r="BH184"/>
      <x:c r="BI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>
        <x:f t="shared" si="10"/>
      </x:c>
      <x:c r="T185">
        <x:f t="shared" si="11"/>
      </x:c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/>
      <x:c r="AN185"/>
      <x:c r="AO185"/>
      <x:c r="AP185"/>
      <x:c r="AQ185"/>
      <x:c r="AR185"/>
      <x:c r="AS185">
        <x:f t="shared" si="12"/>
      </x:c>
      <x:c r="AT185"/>
      <x:c r="AU185"/>
      <x:c r="AV185"/>
      <x:c r="AW185"/>
      <x:c r="AX185"/>
      <x:c r="AY185"/>
      <x:c r="AZ185"/>
      <x:c r="BA185"/>
      <x:c r="BB185"/>
      <x:c r="BC185"/>
      <x:c r="BD185"/>
      <x:c r="BE185"/>
      <x:c r="BF185">
        <x:f t="shared" si="13"/>
      </x:c>
      <x:c r="BG185">
        <x:f t="shared" si="14"/>
      </x:c>
      <x:c r="BH185"/>
      <x:c r="BI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>
        <x:f t="shared" si="10"/>
      </x:c>
      <x:c r="T186">
        <x:f t="shared" si="11"/>
      </x:c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>
        <x:f t="shared" si="12"/>
      </x:c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>
        <x:f t="shared" si="13"/>
      </x:c>
      <x:c r="BG186">
        <x:f t="shared" si="14"/>
      </x:c>
      <x:c r="BH186"/>
      <x:c r="BI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>
        <x:f t="shared" si="10"/>
      </x:c>
      <x:c r="T187">
        <x:f t="shared" si="11"/>
      </x:c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>
        <x:f t="shared" si="12"/>
      </x:c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>
        <x:f t="shared" si="13"/>
      </x:c>
      <x:c r="BG187">
        <x:f t="shared" si="14"/>
      </x:c>
      <x:c r="BH187"/>
      <x:c r="BI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>
        <x:f t="shared" si="10"/>
      </x:c>
      <x:c r="T188">
        <x:f t="shared" si="11"/>
      </x:c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>
        <x:f t="shared" si="12"/>
      </x:c>
      <x:c r="AT188"/>
      <x:c r="AU188"/>
      <x:c r="AV188"/>
      <x:c r="AW188"/>
      <x:c r="AX188"/>
      <x:c r="AY188"/>
      <x:c r="AZ188"/>
      <x:c r="BA188"/>
      <x:c r="BB188"/>
      <x:c r="BC188"/>
      <x:c r="BD188"/>
      <x:c r="BE188"/>
      <x:c r="BF188">
        <x:f t="shared" si="13"/>
      </x:c>
      <x:c r="BG188">
        <x:f t="shared" si="14"/>
      </x:c>
      <x:c r="BH188"/>
      <x:c r="BI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>
        <x:f t="shared" si="10"/>
      </x:c>
      <x:c r="T189">
        <x:f t="shared" si="11"/>
      </x:c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>
        <x:f t="shared" si="12"/>
      </x:c>
      <x:c r="AT189"/>
      <x:c r="AU189"/>
      <x:c r="AV189"/>
      <x:c r="AW189"/>
      <x:c r="AX189"/>
      <x:c r="AY189"/>
      <x:c r="AZ189"/>
      <x:c r="BA189"/>
      <x:c r="BB189"/>
      <x:c r="BC189"/>
      <x:c r="BD189"/>
      <x:c r="BE189"/>
      <x:c r="BF189">
        <x:f t="shared" si="13"/>
      </x:c>
      <x:c r="BG189">
        <x:f t="shared" si="14"/>
      </x:c>
      <x:c r="BH189"/>
      <x:c r="BI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>
        <x:f t="shared" si="10"/>
      </x:c>
      <x:c r="T190">
        <x:f t="shared" si="11"/>
      </x:c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>
        <x:f t="shared" si="12"/>
      </x:c>
      <x:c r="AT190"/>
      <x:c r="AU190"/>
      <x:c r="AV190"/>
      <x:c r="AW190"/>
      <x:c r="AX190"/>
      <x:c r="AY190"/>
      <x:c r="AZ190"/>
      <x:c r="BA190"/>
      <x:c r="BB190"/>
      <x:c r="BC190"/>
      <x:c r="BD190"/>
      <x:c r="BE190"/>
      <x:c r="BF190">
        <x:f t="shared" si="13"/>
      </x:c>
      <x:c r="BG190">
        <x:f t="shared" si="14"/>
      </x:c>
      <x:c r="BH190"/>
      <x:c r="BI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>
        <x:f t="shared" si="10"/>
      </x:c>
      <x:c r="T191">
        <x:f t="shared" si="11"/>
      </x:c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/>
      <x:c r="AN191"/>
      <x:c r="AO191"/>
      <x:c r="AP191"/>
      <x:c r="AQ191"/>
      <x:c r="AR191"/>
      <x:c r="AS191">
        <x:f t="shared" si="12"/>
      </x:c>
      <x:c r="AT191"/>
      <x:c r="AU191"/>
      <x:c r="AV191"/>
      <x:c r="AW191"/>
      <x:c r="AX191"/>
      <x:c r="AY191"/>
      <x:c r="AZ191"/>
      <x:c r="BA191"/>
      <x:c r="BB191"/>
      <x:c r="BC191"/>
      <x:c r="BD191"/>
      <x:c r="BE191"/>
      <x:c r="BF191">
        <x:f t="shared" si="13"/>
      </x:c>
      <x:c r="BG191">
        <x:f t="shared" si="14"/>
      </x:c>
      <x:c r="BH191"/>
      <x:c r="BI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>
        <x:f t="shared" si="10"/>
      </x:c>
      <x:c r="T192">
        <x:f t="shared" si="11"/>
      </x:c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>
        <x:f t="shared" si="12"/>
      </x:c>
      <x:c r="AT192"/>
      <x:c r="AU192"/>
      <x:c r="AV192"/>
      <x:c r="AW192"/>
      <x:c r="AX192"/>
      <x:c r="AY192"/>
      <x:c r="AZ192"/>
      <x:c r="BA192"/>
      <x:c r="BB192"/>
      <x:c r="BC192"/>
      <x:c r="BD192"/>
      <x:c r="BE192"/>
      <x:c r="BF192">
        <x:f t="shared" si="13"/>
      </x:c>
      <x:c r="BG192">
        <x:f t="shared" si="14"/>
      </x:c>
      <x:c r="BH192"/>
      <x:c r="BI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>
        <x:f t="shared" si="10"/>
      </x:c>
      <x:c r="T193">
        <x:f t="shared" si="11"/>
      </x:c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>
        <x:f t="shared" si="12"/>
      </x:c>
      <x:c r="AT193"/>
      <x:c r="AU193"/>
      <x:c r="AV193"/>
      <x:c r="AW193"/>
      <x:c r="AX193"/>
      <x:c r="AY193"/>
      <x:c r="AZ193"/>
      <x:c r="BA193"/>
      <x:c r="BB193"/>
      <x:c r="BC193"/>
      <x:c r="BD193"/>
      <x:c r="BE193"/>
      <x:c r="BF193">
        <x:f t="shared" si="13"/>
      </x:c>
      <x:c r="BG193">
        <x:f t="shared" si="14"/>
      </x:c>
      <x:c r="BH193"/>
      <x:c r="BI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>
        <x:f t="shared" ref="S194:S257" si="15">O194*(R194-P194)/100</x:f>
      </x:c>
      <x:c r="T194">
        <x:f t="shared" ref="T194:T257" si="16">O194*(R194-IF(Q194="",P194,Q194))/100</x:f>
      </x:c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/>
      <x:c r="AN194"/>
      <x:c r="AO194"/>
      <x:c r="AP194"/>
      <x:c r="AQ194"/>
      <x:c r="AR194"/>
      <x:c r="AS194">
        <x:f t="shared" ref="AS194:AS257" si="17">IF(S194=0,100,IFERROR(AR194/S194*100,0))</x:f>
      </x:c>
      <x:c r="AT194"/>
      <x:c r="AU194"/>
      <x:c r="AV194"/>
      <x:c r="AW194"/>
      <x:c r="AX194"/>
      <x:c r="AY194"/>
      <x:c r="AZ194"/>
      <x:c r="BA194"/>
      <x:c r="BB194"/>
      <x:c r="BC194"/>
      <x:c r="BD194"/>
      <x:c r="BE194"/>
      <x:c r="BF194">
        <x:f t="shared" ref="BF194:BF257" si="18">IF(AK194="Completed","Yes","No")</x:f>
      </x:c>
      <x:c r="BG194">
        <x:f t="shared" ref="BG194:BG257" si="19">IF(AND(BE194="Yes",BF194="Yes"),"Yes","No")</x:f>
      </x:c>
      <x:c r="BH194"/>
      <x:c r="BI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>
        <x:f t="shared" si="15"/>
      </x:c>
      <x:c r="T195">
        <x:f t="shared" si="16"/>
      </x:c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/>
      <x:c r="AR195"/>
      <x:c r="AS195">
        <x:f t="shared" si="17"/>
      </x:c>
      <x:c r="AT195"/>
      <x:c r="AU195"/>
      <x:c r="AV195"/>
      <x:c r="AW195"/>
      <x:c r="AX195"/>
      <x:c r="AY195"/>
      <x:c r="AZ195"/>
      <x:c r="BA195"/>
      <x:c r="BB195"/>
      <x:c r="BC195"/>
      <x:c r="BD195"/>
      <x:c r="BE195"/>
      <x:c r="BF195">
        <x:f t="shared" si="18"/>
      </x:c>
      <x:c r="BG195">
        <x:f t="shared" si="19"/>
      </x:c>
      <x:c r="BH195"/>
      <x:c r="BI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>
        <x:f t="shared" si="15"/>
      </x:c>
      <x:c r="T196">
        <x:f t="shared" si="16"/>
      </x:c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>
        <x:f t="shared" si="17"/>
      </x:c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>
        <x:f t="shared" si="18"/>
      </x:c>
      <x:c r="BG196">
        <x:f t="shared" si="19"/>
      </x:c>
      <x:c r="BH196"/>
      <x:c r="BI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>
        <x:f t="shared" si="15"/>
      </x:c>
      <x:c r="T197">
        <x:f t="shared" si="16"/>
      </x:c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/>
      <x:c r="AN197"/>
      <x:c r="AO197"/>
      <x:c r="AP197"/>
      <x:c r="AQ197"/>
      <x:c r="AR197"/>
      <x:c r="AS197">
        <x:f t="shared" si="17"/>
      </x:c>
      <x:c r="AT197"/>
      <x:c r="AU197"/>
      <x:c r="AV197"/>
      <x:c r="AW197"/>
      <x:c r="AX197"/>
      <x:c r="AY197"/>
      <x:c r="AZ197"/>
      <x:c r="BA197"/>
      <x:c r="BB197"/>
      <x:c r="BC197"/>
      <x:c r="BD197"/>
      <x:c r="BE197"/>
      <x:c r="BF197">
        <x:f t="shared" si="18"/>
      </x:c>
      <x:c r="BG197">
        <x:f t="shared" si="19"/>
      </x:c>
      <x:c r="BH197"/>
      <x:c r="BI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>
        <x:f t="shared" si="15"/>
      </x:c>
      <x:c r="T198">
        <x:f t="shared" si="16"/>
      </x:c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>
        <x:f t="shared" si="17"/>
      </x:c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>
        <x:f t="shared" si="18"/>
      </x:c>
      <x:c r="BG198">
        <x:f t="shared" si="19"/>
      </x:c>
      <x:c r="BH198"/>
      <x:c r="BI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>
        <x:f t="shared" si="15"/>
      </x:c>
      <x:c r="T199">
        <x:f t="shared" si="16"/>
      </x:c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>
        <x:f t="shared" si="17"/>
      </x:c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>
        <x:f t="shared" si="18"/>
      </x:c>
      <x:c r="BG199">
        <x:f t="shared" si="19"/>
      </x:c>
      <x:c r="BH199"/>
      <x:c r="BI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>
        <x:f t="shared" si="15"/>
      </x:c>
      <x:c r="T200">
        <x:f t="shared" si="16"/>
      </x:c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/>
      <x:c r="AN200"/>
      <x:c r="AO200"/>
      <x:c r="AP200"/>
      <x:c r="AQ200"/>
      <x:c r="AR200"/>
      <x:c r="AS200">
        <x:f t="shared" si="17"/>
      </x:c>
      <x:c r="AT200"/>
      <x:c r="AU200"/>
      <x:c r="AV200"/>
      <x:c r="AW200"/>
      <x:c r="AX200"/>
      <x:c r="AY200"/>
      <x:c r="AZ200"/>
      <x:c r="BA200"/>
      <x:c r="BB200"/>
      <x:c r="BC200"/>
      <x:c r="BD200"/>
      <x:c r="BE200"/>
      <x:c r="BF200">
        <x:f t="shared" si="18"/>
      </x:c>
      <x:c r="BG200">
        <x:f t="shared" si="19"/>
      </x:c>
      <x:c r="BH200"/>
      <x:c r="BI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>
        <x:f t="shared" si="15"/>
      </x:c>
      <x:c r="T201">
        <x:f t="shared" si="16"/>
      </x:c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>
        <x:f t="shared" si="17"/>
      </x:c>
      <x:c r="AT201"/>
      <x:c r="AU201"/>
      <x:c r="AV201"/>
      <x:c r="AW201"/>
      <x:c r="AX201"/>
      <x:c r="AY201"/>
      <x:c r="AZ201"/>
      <x:c r="BA201"/>
      <x:c r="BB201"/>
      <x:c r="BC201"/>
      <x:c r="BD201"/>
      <x:c r="BE201"/>
      <x:c r="BF201">
        <x:f t="shared" si="18"/>
      </x:c>
      <x:c r="BG201">
        <x:f t="shared" si="19"/>
      </x:c>
      <x:c r="BH201"/>
      <x:c r="BI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>
        <x:f t="shared" si="15"/>
      </x:c>
      <x:c r="T202">
        <x:f t="shared" si="16"/>
      </x:c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>
        <x:f t="shared" si="17"/>
      </x:c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>
        <x:f t="shared" si="18"/>
      </x:c>
      <x:c r="BG202">
        <x:f t="shared" si="19"/>
      </x:c>
      <x:c r="BH202"/>
      <x:c r="BI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>
        <x:f t="shared" si="15"/>
      </x:c>
      <x:c r="T203">
        <x:f t="shared" si="16"/>
      </x:c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/>
      <x:c r="AN203"/>
      <x:c r="AO203"/>
      <x:c r="AP203"/>
      <x:c r="AQ203"/>
      <x:c r="AR203"/>
      <x:c r="AS203">
        <x:f t="shared" si="17"/>
      </x:c>
      <x:c r="AT203"/>
      <x:c r="AU203"/>
      <x:c r="AV203"/>
      <x:c r="AW203"/>
      <x:c r="AX203"/>
      <x:c r="AY203"/>
      <x:c r="AZ203"/>
      <x:c r="BA203"/>
      <x:c r="BB203"/>
      <x:c r="BC203"/>
      <x:c r="BD203"/>
      <x:c r="BE203"/>
      <x:c r="BF203">
        <x:f t="shared" si="18"/>
      </x:c>
      <x:c r="BG203">
        <x:f t="shared" si="19"/>
      </x:c>
      <x:c r="BH203"/>
      <x:c r="BI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>
        <x:f t="shared" si="15"/>
      </x:c>
      <x:c r="T204">
        <x:f t="shared" si="16"/>
      </x:c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/>
      <x:c r="AR204"/>
      <x:c r="AS204">
        <x:f t="shared" si="17"/>
      </x:c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  <x:c r="BF204">
        <x:f t="shared" si="18"/>
      </x:c>
      <x:c r="BG204">
        <x:f t="shared" si="19"/>
      </x:c>
      <x:c r="BH204"/>
      <x:c r="BI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>
        <x:f t="shared" si="15"/>
      </x:c>
      <x:c r="T205">
        <x:f t="shared" si="16"/>
      </x:c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/>
      <x:c r="AR205"/>
      <x:c r="AS205">
        <x:f t="shared" si="17"/>
      </x:c>
      <x:c r="AT205"/>
      <x:c r="AU205"/>
      <x:c r="AV205"/>
      <x:c r="AW205"/>
      <x:c r="AX205"/>
      <x:c r="AY205"/>
      <x:c r="AZ205"/>
      <x:c r="BA205"/>
      <x:c r="BB205"/>
      <x:c r="BC205"/>
      <x:c r="BD205"/>
      <x:c r="BE205"/>
      <x:c r="BF205">
        <x:f t="shared" si="18"/>
      </x:c>
      <x:c r="BG205">
        <x:f t="shared" si="19"/>
      </x:c>
      <x:c r="BH205"/>
      <x:c r="BI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>
        <x:f t="shared" si="15"/>
      </x:c>
      <x:c r="T206">
        <x:f t="shared" si="16"/>
      </x:c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  <x:c r="AI206"/>
      <x:c r="AJ206"/>
      <x:c r="AK206"/>
      <x:c r="AL206"/>
      <x:c r="AM206"/>
      <x:c r="AN206"/>
      <x:c r="AO206"/>
      <x:c r="AP206"/>
      <x:c r="AQ206"/>
      <x:c r="AR206"/>
      <x:c r="AS206">
        <x:f t="shared" si="17"/>
      </x:c>
      <x:c r="AT206"/>
      <x:c r="AU206"/>
      <x:c r="AV206"/>
      <x:c r="AW206"/>
      <x:c r="AX206"/>
      <x:c r="AY206"/>
      <x:c r="AZ206"/>
      <x:c r="BA206"/>
      <x:c r="BB206"/>
      <x:c r="BC206"/>
      <x:c r="BD206"/>
      <x:c r="BE206"/>
      <x:c r="BF206">
        <x:f t="shared" si="18"/>
      </x:c>
      <x:c r="BG206">
        <x:f t="shared" si="19"/>
      </x:c>
      <x:c r="BH206"/>
      <x:c r="BI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>
        <x:f t="shared" si="15"/>
      </x:c>
      <x:c r="T207">
        <x:f t="shared" si="16"/>
      </x:c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  <x:c r="AI207"/>
      <x:c r="AJ207"/>
      <x:c r="AK207"/>
      <x:c r="AL207"/>
      <x:c r="AM207"/>
      <x:c r="AN207"/>
      <x:c r="AO207"/>
      <x:c r="AP207"/>
      <x:c r="AQ207"/>
      <x:c r="AR207"/>
      <x:c r="AS207">
        <x:f t="shared" si="17"/>
      </x:c>
      <x:c r="AT207"/>
      <x:c r="AU207"/>
      <x:c r="AV207"/>
      <x:c r="AW207"/>
      <x:c r="AX207"/>
      <x:c r="AY207"/>
      <x:c r="AZ207"/>
      <x:c r="BA207"/>
      <x:c r="BB207"/>
      <x:c r="BC207"/>
      <x:c r="BD207"/>
      <x:c r="BE207"/>
      <x:c r="BF207">
        <x:f t="shared" si="18"/>
      </x:c>
      <x:c r="BG207">
        <x:f t="shared" si="19"/>
      </x:c>
      <x:c r="BH207"/>
      <x:c r="BI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>
        <x:f t="shared" si="15"/>
      </x:c>
      <x:c r="T208">
        <x:f t="shared" si="16"/>
      </x:c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>
        <x:f t="shared" si="17"/>
      </x:c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>
        <x:f t="shared" si="18"/>
      </x:c>
      <x:c r="BG208">
        <x:f t="shared" si="19"/>
      </x:c>
      <x:c r="BH208"/>
      <x:c r="BI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>
        <x:f t="shared" si="15"/>
      </x:c>
      <x:c r="T209">
        <x:f t="shared" si="16"/>
      </x:c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  <x:c r="AI209"/>
      <x:c r="AJ209"/>
      <x:c r="AK209"/>
      <x:c r="AL209"/>
      <x:c r="AM209"/>
      <x:c r="AN209"/>
      <x:c r="AO209"/>
      <x:c r="AP209"/>
      <x:c r="AQ209"/>
      <x:c r="AR209"/>
      <x:c r="AS209">
        <x:f t="shared" si="17"/>
      </x:c>
      <x:c r="AT209"/>
      <x:c r="AU209"/>
      <x:c r="AV209"/>
      <x:c r="AW209"/>
      <x:c r="AX209"/>
      <x:c r="AY209"/>
      <x:c r="AZ209"/>
      <x:c r="BA209"/>
      <x:c r="BB209"/>
      <x:c r="BC209"/>
      <x:c r="BD209"/>
      <x:c r="BE209"/>
      <x:c r="BF209">
        <x:f t="shared" si="18"/>
      </x:c>
      <x:c r="BG209">
        <x:f t="shared" si="19"/>
      </x:c>
      <x:c r="BH209"/>
      <x:c r="BI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>
        <x:f t="shared" si="15"/>
      </x:c>
      <x:c r="T210">
        <x:f t="shared" si="16"/>
      </x:c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>
        <x:f t="shared" si="17"/>
      </x:c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>
        <x:f t="shared" si="18"/>
      </x:c>
      <x:c r="BG210">
        <x:f t="shared" si="19"/>
      </x:c>
      <x:c r="BH210"/>
      <x:c r="BI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>
        <x:f t="shared" si="15"/>
      </x:c>
      <x:c r="T211">
        <x:f t="shared" si="16"/>
      </x:c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>
        <x:f t="shared" si="17"/>
      </x:c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>
        <x:f t="shared" si="18"/>
      </x:c>
      <x:c r="BG211">
        <x:f t="shared" si="19"/>
      </x:c>
      <x:c r="BH211"/>
      <x:c r="BI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>
        <x:f t="shared" si="15"/>
      </x:c>
      <x:c r="T212">
        <x:f t="shared" si="16"/>
      </x:c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/>
      <x:c r="AN212"/>
      <x:c r="AO212"/>
      <x:c r="AP212"/>
      <x:c r="AQ212"/>
      <x:c r="AR212"/>
      <x:c r="AS212">
        <x:f t="shared" si="17"/>
      </x:c>
      <x:c r="AT212"/>
      <x:c r="AU212"/>
      <x:c r="AV212"/>
      <x:c r="AW212"/>
      <x:c r="AX212"/>
      <x:c r="AY212"/>
      <x:c r="AZ212"/>
      <x:c r="BA212"/>
      <x:c r="BB212"/>
      <x:c r="BC212"/>
      <x:c r="BD212"/>
      <x:c r="BE212"/>
      <x:c r="BF212">
        <x:f t="shared" si="18"/>
      </x:c>
      <x:c r="BG212">
        <x:f t="shared" si="19"/>
      </x:c>
      <x:c r="BH212"/>
      <x:c r="BI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>
        <x:f t="shared" si="15"/>
      </x:c>
      <x:c r="T213">
        <x:f t="shared" si="16"/>
      </x:c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>
        <x:f t="shared" si="17"/>
      </x:c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>
        <x:f t="shared" si="18"/>
      </x:c>
      <x:c r="BG213">
        <x:f t="shared" si="19"/>
      </x:c>
      <x:c r="BH213"/>
      <x:c r="BI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>
        <x:f t="shared" si="15"/>
      </x:c>
      <x:c r="T214">
        <x:f t="shared" si="16"/>
      </x:c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  <x:c r="AI214"/>
      <x:c r="AJ214"/>
      <x:c r="AK214"/>
      <x:c r="AL214"/>
      <x:c r="AM214"/>
      <x:c r="AN214"/>
      <x:c r="AO214"/>
      <x:c r="AP214"/>
      <x:c r="AQ214"/>
      <x:c r="AR214"/>
      <x:c r="AS214">
        <x:f t="shared" si="17"/>
      </x:c>
      <x:c r="AT214"/>
      <x:c r="AU214"/>
      <x:c r="AV214"/>
      <x:c r="AW214"/>
      <x:c r="AX214"/>
      <x:c r="AY214"/>
      <x:c r="AZ214"/>
      <x:c r="BA214"/>
      <x:c r="BB214"/>
      <x:c r="BC214"/>
      <x:c r="BD214"/>
      <x:c r="BE214"/>
      <x:c r="BF214">
        <x:f t="shared" si="18"/>
      </x:c>
      <x:c r="BG214">
        <x:f t="shared" si="19"/>
      </x:c>
      <x:c r="BH214"/>
      <x:c r="BI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>
        <x:f t="shared" si="15"/>
      </x:c>
      <x:c r="T215">
        <x:f t="shared" si="16"/>
      </x:c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/>
      <x:c r="AR215"/>
      <x:c r="AS215">
        <x:f t="shared" si="17"/>
      </x:c>
      <x:c r="AT215"/>
      <x:c r="AU215"/>
      <x:c r="AV215"/>
      <x:c r="AW215"/>
      <x:c r="AX215"/>
      <x:c r="AY215"/>
      <x:c r="AZ215"/>
      <x:c r="BA215"/>
      <x:c r="BB215"/>
      <x:c r="BC215"/>
      <x:c r="BD215"/>
      <x:c r="BE215"/>
      <x:c r="BF215">
        <x:f t="shared" si="18"/>
      </x:c>
      <x:c r="BG215">
        <x:f t="shared" si="19"/>
      </x:c>
      <x:c r="BH215"/>
      <x:c r="BI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>
        <x:f t="shared" si="15"/>
      </x:c>
      <x:c r="T216">
        <x:f t="shared" si="16"/>
      </x:c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>
        <x:f t="shared" si="17"/>
      </x:c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>
        <x:f t="shared" si="18"/>
      </x:c>
      <x:c r="BG216">
        <x:f t="shared" si="19"/>
      </x:c>
      <x:c r="BH216"/>
      <x:c r="BI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>
        <x:f t="shared" si="15"/>
      </x:c>
      <x:c r="T217">
        <x:f t="shared" si="16"/>
      </x:c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>
        <x:f t="shared" si="17"/>
      </x:c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>
        <x:f t="shared" si="18"/>
      </x:c>
      <x:c r="BG217">
        <x:f t="shared" si="19"/>
      </x:c>
      <x:c r="BH217"/>
      <x:c r="BI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>
        <x:f t="shared" si="15"/>
      </x:c>
      <x:c r="T218">
        <x:f t="shared" si="16"/>
      </x:c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  <x:c r="AI218"/>
      <x:c r="AJ218"/>
      <x:c r="AK218"/>
      <x:c r="AL218"/>
      <x:c r="AM218"/>
      <x:c r="AN218"/>
      <x:c r="AO218"/>
      <x:c r="AP218"/>
      <x:c r="AQ218"/>
      <x:c r="AR218"/>
      <x:c r="AS218">
        <x:f t="shared" si="17"/>
      </x:c>
      <x:c r="AT218"/>
      <x:c r="AU218"/>
      <x:c r="AV218"/>
      <x:c r="AW218"/>
      <x:c r="AX218"/>
      <x:c r="AY218"/>
      <x:c r="AZ218"/>
      <x:c r="BA218"/>
      <x:c r="BB218"/>
      <x:c r="BC218"/>
      <x:c r="BD218"/>
      <x:c r="BE218"/>
      <x:c r="BF218">
        <x:f t="shared" si="18"/>
      </x:c>
      <x:c r="BG218">
        <x:f t="shared" si="19"/>
      </x:c>
      <x:c r="BH218"/>
      <x:c r="BI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>
        <x:f t="shared" si="15"/>
      </x:c>
      <x:c r="T219">
        <x:f t="shared" si="16"/>
      </x:c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  <x:c r="AI219"/>
      <x:c r="AJ219"/>
      <x:c r="AK219"/>
      <x:c r="AL219"/>
      <x:c r="AM219"/>
      <x:c r="AN219"/>
      <x:c r="AO219"/>
      <x:c r="AP219"/>
      <x:c r="AQ219"/>
      <x:c r="AR219"/>
      <x:c r="AS219">
        <x:f t="shared" si="17"/>
      </x:c>
      <x:c r="AT219"/>
      <x:c r="AU219"/>
      <x:c r="AV219"/>
      <x:c r="AW219"/>
      <x:c r="AX219"/>
      <x:c r="AY219"/>
      <x:c r="AZ219"/>
      <x:c r="BA219"/>
      <x:c r="BB219"/>
      <x:c r="BC219"/>
      <x:c r="BD219"/>
      <x:c r="BE219"/>
      <x:c r="BF219">
        <x:f t="shared" si="18"/>
      </x:c>
      <x:c r="BG219">
        <x:f t="shared" si="19"/>
      </x:c>
      <x:c r="BH219"/>
      <x:c r="BI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>
        <x:f t="shared" si="15"/>
      </x:c>
      <x:c r="T220">
        <x:f t="shared" si="16"/>
      </x:c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  <x:c r="AI220"/>
      <x:c r="AJ220"/>
      <x:c r="AK220"/>
      <x:c r="AL220"/>
      <x:c r="AM220"/>
      <x:c r="AN220"/>
      <x:c r="AO220"/>
      <x:c r="AP220"/>
      <x:c r="AQ220"/>
      <x:c r="AR220"/>
      <x:c r="AS220">
        <x:f t="shared" si="17"/>
      </x:c>
      <x:c r="AT220"/>
      <x:c r="AU220"/>
      <x:c r="AV220"/>
      <x:c r="AW220"/>
      <x:c r="AX220"/>
      <x:c r="AY220"/>
      <x:c r="AZ220"/>
      <x:c r="BA220"/>
      <x:c r="BB220"/>
      <x:c r="BC220"/>
      <x:c r="BD220"/>
      <x:c r="BE220"/>
      <x:c r="BF220">
        <x:f t="shared" si="18"/>
      </x:c>
      <x:c r="BG220">
        <x:f t="shared" si="19"/>
      </x:c>
      <x:c r="BH220"/>
      <x:c r="BI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>
        <x:f t="shared" si="15"/>
      </x:c>
      <x:c r="T221">
        <x:f t="shared" si="16"/>
      </x:c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/>
      <x:c r="AN221"/>
      <x:c r="AO221"/>
      <x:c r="AP221"/>
      <x:c r="AQ221"/>
      <x:c r="AR221"/>
      <x:c r="AS221">
        <x:f t="shared" si="17"/>
      </x:c>
      <x:c r="AT221"/>
      <x:c r="AU221"/>
      <x:c r="AV221"/>
      <x:c r="AW221"/>
      <x:c r="AX221"/>
      <x:c r="AY221"/>
      <x:c r="AZ221"/>
      <x:c r="BA221"/>
      <x:c r="BB221"/>
      <x:c r="BC221"/>
      <x:c r="BD221"/>
      <x:c r="BE221"/>
      <x:c r="BF221">
        <x:f t="shared" si="18"/>
      </x:c>
      <x:c r="BG221">
        <x:f t="shared" si="19"/>
      </x:c>
      <x:c r="BH221"/>
      <x:c r="BI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>
        <x:f t="shared" si="15"/>
      </x:c>
      <x:c r="T222">
        <x:f t="shared" si="16"/>
      </x:c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>
        <x:f t="shared" si="17"/>
      </x:c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>
        <x:f t="shared" si="18"/>
      </x:c>
      <x:c r="BG222">
        <x:f t="shared" si="19"/>
      </x:c>
      <x:c r="BH222"/>
      <x:c r="BI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>
        <x:f t="shared" si="15"/>
      </x:c>
      <x:c r="T223">
        <x:f t="shared" si="16"/>
      </x:c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  <x:c r="AI223"/>
      <x:c r="AJ223"/>
      <x:c r="AK223"/>
      <x:c r="AL223"/>
      <x:c r="AM223"/>
      <x:c r="AN223"/>
      <x:c r="AO223"/>
      <x:c r="AP223"/>
      <x:c r="AQ223"/>
      <x:c r="AR223"/>
      <x:c r="AS223">
        <x:f t="shared" si="17"/>
      </x:c>
      <x:c r="AT223"/>
      <x:c r="AU223"/>
      <x:c r="AV223"/>
      <x:c r="AW223"/>
      <x:c r="AX223"/>
      <x:c r="AY223"/>
      <x:c r="AZ223"/>
      <x:c r="BA223"/>
      <x:c r="BB223"/>
      <x:c r="BC223"/>
      <x:c r="BD223"/>
      <x:c r="BE223"/>
      <x:c r="BF223">
        <x:f t="shared" si="18"/>
      </x:c>
      <x:c r="BG223">
        <x:f t="shared" si="19"/>
      </x:c>
      <x:c r="BH223"/>
      <x:c r="BI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>
        <x:f t="shared" si="15"/>
      </x:c>
      <x:c r="T224">
        <x:f t="shared" si="16"/>
      </x:c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  <x:c r="AI224"/>
      <x:c r="AJ224"/>
      <x:c r="AK224"/>
      <x:c r="AL224"/>
      <x:c r="AM224"/>
      <x:c r="AN224"/>
      <x:c r="AO224"/>
      <x:c r="AP224"/>
      <x:c r="AQ224"/>
      <x:c r="AR224"/>
      <x:c r="AS224">
        <x:f t="shared" si="17"/>
      </x:c>
      <x:c r="AT224"/>
      <x:c r="AU224"/>
      <x:c r="AV224"/>
      <x:c r="AW224"/>
      <x:c r="AX224"/>
      <x:c r="AY224"/>
      <x:c r="AZ224"/>
      <x:c r="BA224"/>
      <x:c r="BB224"/>
      <x:c r="BC224"/>
      <x:c r="BD224"/>
      <x:c r="BE224"/>
      <x:c r="BF224">
        <x:f t="shared" si="18"/>
      </x:c>
      <x:c r="BG224">
        <x:f t="shared" si="19"/>
      </x:c>
      <x:c r="BH224"/>
      <x:c r="BI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>
        <x:f t="shared" si="15"/>
      </x:c>
      <x:c r="T225">
        <x:f t="shared" si="16"/>
      </x:c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>
        <x:f t="shared" si="17"/>
      </x:c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>
        <x:f t="shared" si="18"/>
      </x:c>
      <x:c r="BG225">
        <x:f t="shared" si="19"/>
      </x:c>
      <x:c r="BH225"/>
      <x:c r="BI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>
        <x:f t="shared" si="15"/>
      </x:c>
      <x:c r="T226">
        <x:f t="shared" si="16"/>
      </x:c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>
        <x:f t="shared" si="17"/>
      </x:c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>
        <x:f t="shared" si="18"/>
      </x:c>
      <x:c r="BG226">
        <x:f t="shared" si="19"/>
      </x:c>
      <x:c r="BH226"/>
      <x:c r="BI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>
        <x:f t="shared" si="15"/>
      </x:c>
      <x:c r="T227">
        <x:f t="shared" si="16"/>
      </x:c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  <x:c r="AK227"/>
      <x:c r="AL227"/>
      <x:c r="AM227"/>
      <x:c r="AN227"/>
      <x:c r="AO227"/>
      <x:c r="AP227"/>
      <x:c r="AQ227"/>
      <x:c r="AR227"/>
      <x:c r="AS227">
        <x:f t="shared" si="17"/>
      </x:c>
      <x:c r="AT227"/>
      <x:c r="AU227"/>
      <x:c r="AV227"/>
      <x:c r="AW227"/>
      <x:c r="AX227"/>
      <x:c r="AY227"/>
      <x:c r="AZ227"/>
      <x:c r="BA227"/>
      <x:c r="BB227"/>
      <x:c r="BC227"/>
      <x:c r="BD227"/>
      <x:c r="BE227"/>
      <x:c r="BF227">
        <x:f t="shared" si="18"/>
      </x:c>
      <x:c r="BG227">
        <x:f t="shared" si="19"/>
      </x:c>
      <x:c r="BH227"/>
      <x:c r="BI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>
        <x:f t="shared" si="15"/>
      </x:c>
      <x:c r="T228">
        <x:f t="shared" si="16"/>
      </x:c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  <x:c r="AK228"/>
      <x:c r="AL228"/>
      <x:c r="AM228"/>
      <x:c r="AN228"/>
      <x:c r="AO228"/>
      <x:c r="AP228"/>
      <x:c r="AQ228"/>
      <x:c r="AR228"/>
      <x:c r="AS228">
        <x:f t="shared" si="17"/>
      </x:c>
      <x:c r="AT228"/>
      <x:c r="AU228"/>
      <x:c r="AV228"/>
      <x:c r="AW228"/>
      <x:c r="AX228"/>
      <x:c r="AY228"/>
      <x:c r="AZ228"/>
      <x:c r="BA228"/>
      <x:c r="BB228"/>
      <x:c r="BC228"/>
      <x:c r="BD228"/>
      <x:c r="BE228"/>
      <x:c r="BF228">
        <x:f t="shared" si="18"/>
      </x:c>
      <x:c r="BG228">
        <x:f t="shared" si="19"/>
      </x:c>
      <x:c r="BH228"/>
      <x:c r="BI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>
        <x:f t="shared" si="15"/>
      </x:c>
      <x:c r="T229">
        <x:f t="shared" si="16"/>
      </x:c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>
        <x:f t="shared" si="17"/>
      </x:c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>
        <x:f t="shared" si="18"/>
      </x:c>
      <x:c r="BG229">
        <x:f t="shared" si="19"/>
      </x:c>
      <x:c r="BH229"/>
      <x:c r="BI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>
        <x:f t="shared" si="15"/>
      </x:c>
      <x:c r="T230">
        <x:f t="shared" si="16"/>
      </x:c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>
        <x:f t="shared" si="17"/>
      </x:c>
      <x:c r="AT230"/>
      <x:c r="AU230"/>
      <x:c r="AV230"/>
      <x:c r="AW230"/>
      <x:c r="AX230"/>
      <x:c r="AY230"/>
      <x:c r="AZ230"/>
      <x:c r="BA230"/>
      <x:c r="BB230"/>
      <x:c r="BC230"/>
      <x:c r="BD230"/>
      <x:c r="BE230"/>
      <x:c r="BF230">
        <x:f t="shared" si="18"/>
      </x:c>
      <x:c r="BG230">
        <x:f t="shared" si="19"/>
      </x:c>
      <x:c r="BH230"/>
      <x:c r="BI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>
        <x:f t="shared" si="15"/>
      </x:c>
      <x:c r="T231">
        <x:f t="shared" si="16"/>
      </x:c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  <x:c r="AK231"/>
      <x:c r="AL231"/>
      <x:c r="AM231"/>
      <x:c r="AN231"/>
      <x:c r="AO231"/>
      <x:c r="AP231"/>
      <x:c r="AQ231"/>
      <x:c r="AR231"/>
      <x:c r="AS231">
        <x:f t="shared" si="17"/>
      </x:c>
      <x:c r="AT231"/>
      <x:c r="AU231"/>
      <x:c r="AV231"/>
      <x:c r="AW231"/>
      <x:c r="AX231"/>
      <x:c r="AY231"/>
      <x:c r="AZ231"/>
      <x:c r="BA231"/>
      <x:c r="BB231"/>
      <x:c r="BC231"/>
      <x:c r="BD231"/>
      <x:c r="BE231"/>
      <x:c r="BF231">
        <x:f t="shared" si="18"/>
      </x:c>
      <x:c r="BG231">
        <x:f t="shared" si="19"/>
      </x:c>
      <x:c r="BH231"/>
      <x:c r="BI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>
        <x:f t="shared" si="15"/>
      </x:c>
      <x:c r="T232">
        <x:f t="shared" si="16"/>
      </x:c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  <x:c r="AI232"/>
      <x:c r="AJ232"/>
      <x:c r="AK232"/>
      <x:c r="AL232"/>
      <x:c r="AM232"/>
      <x:c r="AN232"/>
      <x:c r="AO232"/>
      <x:c r="AP232"/>
      <x:c r="AQ232"/>
      <x:c r="AR232"/>
      <x:c r="AS232">
        <x:f t="shared" si="17"/>
      </x:c>
      <x:c r="AT232"/>
      <x:c r="AU232"/>
      <x:c r="AV232"/>
      <x:c r="AW232"/>
      <x:c r="AX232"/>
      <x:c r="AY232"/>
      <x:c r="AZ232"/>
      <x:c r="BA232"/>
      <x:c r="BB232"/>
      <x:c r="BC232"/>
      <x:c r="BD232"/>
      <x:c r="BE232"/>
      <x:c r="BF232">
        <x:f t="shared" si="18"/>
      </x:c>
      <x:c r="BG232">
        <x:f t="shared" si="19"/>
      </x:c>
      <x:c r="BH232"/>
      <x:c r="BI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>
        <x:f t="shared" si="15"/>
      </x:c>
      <x:c r="T233">
        <x:f t="shared" si="16"/>
      </x:c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/>
      <x:c r="AR233"/>
      <x:c r="AS233">
        <x:f t="shared" si="17"/>
      </x:c>
      <x:c r="AT233"/>
      <x:c r="AU233"/>
      <x:c r="AV233"/>
      <x:c r="AW233"/>
      <x:c r="AX233"/>
      <x:c r="AY233"/>
      <x:c r="AZ233"/>
      <x:c r="BA233"/>
      <x:c r="BB233"/>
      <x:c r="BC233"/>
      <x:c r="BD233"/>
      <x:c r="BE233"/>
      <x:c r="BF233">
        <x:f t="shared" si="18"/>
      </x:c>
      <x:c r="BG233">
        <x:f t="shared" si="19"/>
      </x:c>
      <x:c r="BH233"/>
      <x:c r="BI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>
        <x:f t="shared" si="15"/>
      </x:c>
      <x:c r="T234">
        <x:f t="shared" si="16"/>
      </x:c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>
        <x:f t="shared" si="17"/>
      </x:c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>
        <x:f t="shared" si="18"/>
      </x:c>
      <x:c r="BG234">
        <x:f t="shared" si="19"/>
      </x:c>
      <x:c r="BH234"/>
      <x:c r="BI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>
        <x:f t="shared" si="15"/>
      </x:c>
      <x:c r="T235">
        <x:f t="shared" si="16"/>
      </x:c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>
        <x:f t="shared" si="17"/>
      </x:c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>
        <x:f t="shared" si="18"/>
      </x:c>
      <x:c r="BG235">
        <x:f t="shared" si="19"/>
      </x:c>
      <x:c r="BH235"/>
      <x:c r="BI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>
        <x:f t="shared" si="15"/>
      </x:c>
      <x:c r="T236">
        <x:f t="shared" si="16"/>
      </x:c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/>
      <x:c r="AN236"/>
      <x:c r="AO236"/>
      <x:c r="AP236"/>
      <x:c r="AQ236"/>
      <x:c r="AR236"/>
      <x:c r="AS236">
        <x:f t="shared" si="17"/>
      </x:c>
      <x:c r="AT236"/>
      <x:c r="AU236"/>
      <x:c r="AV236"/>
      <x:c r="AW236"/>
      <x:c r="AX236"/>
      <x:c r="AY236"/>
      <x:c r="AZ236"/>
      <x:c r="BA236"/>
      <x:c r="BB236"/>
      <x:c r="BC236"/>
      <x:c r="BD236"/>
      <x:c r="BE236"/>
      <x:c r="BF236">
        <x:f t="shared" si="18"/>
      </x:c>
      <x:c r="BG236">
        <x:f t="shared" si="19"/>
      </x:c>
      <x:c r="BH236"/>
      <x:c r="BI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>
        <x:f t="shared" si="15"/>
      </x:c>
      <x:c r="T237">
        <x:f t="shared" si="16"/>
      </x:c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>
        <x:f t="shared" si="17"/>
      </x:c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>
        <x:f t="shared" si="18"/>
      </x:c>
      <x:c r="BG237">
        <x:f t="shared" si="19"/>
      </x:c>
      <x:c r="BH237"/>
      <x:c r="BI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>
        <x:f t="shared" si="15"/>
      </x:c>
      <x:c r="T238">
        <x:f t="shared" si="16"/>
      </x:c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  <x:c r="AK238"/>
      <x:c r="AL238"/>
      <x:c r="AM238"/>
      <x:c r="AN238"/>
      <x:c r="AO238"/>
      <x:c r="AP238"/>
      <x:c r="AQ238"/>
      <x:c r="AR238"/>
      <x:c r="AS238">
        <x:f t="shared" si="17"/>
      </x:c>
      <x:c r="AT238"/>
      <x:c r="AU238"/>
      <x:c r="AV238"/>
      <x:c r="AW238"/>
      <x:c r="AX238"/>
      <x:c r="AY238"/>
      <x:c r="AZ238"/>
      <x:c r="BA238"/>
      <x:c r="BB238"/>
      <x:c r="BC238"/>
      <x:c r="BD238"/>
      <x:c r="BE238"/>
      <x:c r="BF238">
        <x:f t="shared" si="18"/>
      </x:c>
      <x:c r="BG238">
        <x:f t="shared" si="19"/>
      </x:c>
      <x:c r="BH238"/>
      <x:c r="BI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>
        <x:f t="shared" si="15"/>
      </x:c>
      <x:c r="T239">
        <x:f t="shared" si="16"/>
      </x:c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  <x:c r="AK239"/>
      <x:c r="AL239"/>
      <x:c r="AM239"/>
      <x:c r="AN239"/>
      <x:c r="AO239"/>
      <x:c r="AP239"/>
      <x:c r="AQ239"/>
      <x:c r="AR239"/>
      <x:c r="AS239">
        <x:f t="shared" si="17"/>
      </x:c>
      <x:c r="AT239"/>
      <x:c r="AU239"/>
      <x:c r="AV239"/>
      <x:c r="AW239"/>
      <x:c r="AX239"/>
      <x:c r="AY239"/>
      <x:c r="AZ239"/>
      <x:c r="BA239"/>
      <x:c r="BB239"/>
      <x:c r="BC239"/>
      <x:c r="BD239"/>
      <x:c r="BE239"/>
      <x:c r="BF239">
        <x:f t="shared" si="18"/>
      </x:c>
      <x:c r="BG239">
        <x:f t="shared" si="19"/>
      </x:c>
      <x:c r="BH239"/>
      <x:c r="BI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>
        <x:f t="shared" si="15"/>
      </x:c>
      <x:c r="T240">
        <x:f t="shared" si="16"/>
      </x:c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>
        <x:f t="shared" si="17"/>
      </x:c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>
        <x:f t="shared" si="18"/>
      </x:c>
      <x:c r="BG240">
        <x:f t="shared" si="19"/>
      </x:c>
      <x:c r="BH240"/>
      <x:c r="BI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>
        <x:f t="shared" si="15"/>
      </x:c>
      <x:c r="T241">
        <x:f t="shared" si="16"/>
      </x:c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>
        <x:f t="shared" si="17"/>
      </x:c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>
        <x:f t="shared" si="18"/>
      </x:c>
      <x:c r="BG241">
        <x:f t="shared" si="19"/>
      </x:c>
      <x:c r="BH241"/>
      <x:c r="BI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>
        <x:f t="shared" si="15"/>
      </x:c>
      <x:c r="T242">
        <x:f t="shared" si="16"/>
      </x:c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>
        <x:f t="shared" si="17"/>
      </x:c>
      <x:c r="AT242"/>
      <x:c r="AU242"/>
      <x:c r="AV242"/>
      <x:c r="AW242"/>
      <x:c r="AX242"/>
      <x:c r="AY242"/>
      <x:c r="AZ242"/>
      <x:c r="BA242"/>
      <x:c r="BB242"/>
      <x:c r="BC242"/>
      <x:c r="BD242"/>
      <x:c r="BE242"/>
      <x:c r="BF242">
        <x:f t="shared" si="18"/>
      </x:c>
      <x:c r="BG242">
        <x:f t="shared" si="19"/>
      </x:c>
      <x:c r="BH242"/>
      <x:c r="BI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>
        <x:f t="shared" si="15"/>
      </x:c>
      <x:c r="T243">
        <x:f t="shared" si="16"/>
      </x:c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>
        <x:f t="shared" si="17"/>
      </x:c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>
        <x:f t="shared" si="18"/>
      </x:c>
      <x:c r="BG243">
        <x:f t="shared" si="19"/>
      </x:c>
      <x:c r="BH243"/>
      <x:c r="BI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>
        <x:f t="shared" si="15"/>
      </x:c>
      <x:c r="T244">
        <x:f t="shared" si="16"/>
      </x:c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  <x:c r="AL244"/>
      <x:c r="AM244"/>
      <x:c r="AN244"/>
      <x:c r="AO244"/>
      <x:c r="AP244"/>
      <x:c r="AQ244"/>
      <x:c r="AR244"/>
      <x:c r="AS244">
        <x:f t="shared" si="17"/>
      </x:c>
      <x:c r="AT244"/>
      <x:c r="AU244"/>
      <x:c r="AV244"/>
      <x:c r="AW244"/>
      <x:c r="AX244"/>
      <x:c r="AY244"/>
      <x:c r="AZ244"/>
      <x:c r="BA244"/>
      <x:c r="BB244"/>
      <x:c r="BC244"/>
      <x:c r="BD244"/>
      <x:c r="BE244"/>
      <x:c r="BF244">
        <x:f t="shared" si="18"/>
      </x:c>
      <x:c r="BG244">
        <x:f t="shared" si="19"/>
      </x:c>
      <x:c r="BH244"/>
      <x:c r="BI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>
        <x:f t="shared" si="15"/>
      </x:c>
      <x:c r="T245">
        <x:f t="shared" si="16"/>
      </x:c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/>
      <x:c r="AN245"/>
      <x:c r="AO245"/>
      <x:c r="AP245"/>
      <x:c r="AQ245"/>
      <x:c r="AR245"/>
      <x:c r="AS245">
        <x:f t="shared" si="17"/>
      </x:c>
      <x:c r="AT245"/>
      <x:c r="AU245"/>
      <x:c r="AV245"/>
      <x:c r="AW245"/>
      <x:c r="AX245"/>
      <x:c r="AY245"/>
      <x:c r="AZ245"/>
      <x:c r="BA245"/>
      <x:c r="BB245"/>
      <x:c r="BC245"/>
      <x:c r="BD245"/>
      <x:c r="BE245"/>
      <x:c r="BF245">
        <x:f t="shared" si="18"/>
      </x:c>
      <x:c r="BG245">
        <x:f t="shared" si="19"/>
      </x:c>
      <x:c r="BH245"/>
      <x:c r="BI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>
        <x:f t="shared" si="15"/>
      </x:c>
      <x:c r="T246">
        <x:f t="shared" si="16"/>
      </x:c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>
        <x:f t="shared" si="17"/>
      </x:c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>
        <x:f t="shared" si="18"/>
      </x:c>
      <x:c r="BG246">
        <x:f t="shared" si="19"/>
      </x:c>
      <x:c r="BH246"/>
      <x:c r="BI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>
        <x:f t="shared" si="15"/>
      </x:c>
      <x:c r="T247">
        <x:f t="shared" si="16"/>
      </x:c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  <x:c r="AK247"/>
      <x:c r="AL247"/>
      <x:c r="AM247"/>
      <x:c r="AN247"/>
      <x:c r="AO247"/>
      <x:c r="AP247"/>
      <x:c r="AQ247"/>
      <x:c r="AR247"/>
      <x:c r="AS247">
        <x:f t="shared" si="17"/>
      </x:c>
      <x:c r="AT247"/>
      <x:c r="AU247"/>
      <x:c r="AV247"/>
      <x:c r="AW247"/>
      <x:c r="AX247"/>
      <x:c r="AY247"/>
      <x:c r="AZ247"/>
      <x:c r="BA247"/>
      <x:c r="BB247"/>
      <x:c r="BC247"/>
      <x:c r="BD247"/>
      <x:c r="BE247"/>
      <x:c r="BF247">
        <x:f t="shared" si="18"/>
      </x:c>
      <x:c r="BG247">
        <x:f t="shared" si="19"/>
      </x:c>
      <x:c r="BH247"/>
      <x:c r="BI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>
        <x:f t="shared" si="15"/>
      </x:c>
      <x:c r="T248">
        <x:f t="shared" si="16"/>
      </x:c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  <x:c r="AK248"/>
      <x:c r="AL248"/>
      <x:c r="AM248"/>
      <x:c r="AN248"/>
      <x:c r="AO248"/>
      <x:c r="AP248"/>
      <x:c r="AQ248"/>
      <x:c r="AR248"/>
      <x:c r="AS248">
        <x:f t="shared" si="17"/>
      </x:c>
      <x:c r="AT248"/>
      <x:c r="AU248"/>
      <x:c r="AV248"/>
      <x:c r="AW248"/>
      <x:c r="AX248"/>
      <x:c r="AY248"/>
      <x:c r="AZ248"/>
      <x:c r="BA248"/>
      <x:c r="BB248"/>
      <x:c r="BC248"/>
      <x:c r="BD248"/>
      <x:c r="BE248"/>
      <x:c r="BF248">
        <x:f t="shared" si="18"/>
      </x:c>
      <x:c r="BG248">
        <x:f t="shared" si="19"/>
      </x:c>
      <x:c r="BH248"/>
      <x:c r="BI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>
        <x:f t="shared" si="15"/>
      </x:c>
      <x:c r="T249">
        <x:f t="shared" si="16"/>
      </x:c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>
        <x:f t="shared" si="17"/>
      </x:c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>
        <x:f t="shared" si="18"/>
      </x:c>
      <x:c r="BG249">
        <x:f t="shared" si="19"/>
      </x:c>
      <x:c r="BH249"/>
      <x:c r="BI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>
        <x:f t="shared" si="15"/>
      </x:c>
      <x:c r="T250">
        <x:f t="shared" si="16"/>
      </x:c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  <x:c r="AK250"/>
      <x:c r="AL250"/>
      <x:c r="AM250"/>
      <x:c r="AN250"/>
      <x:c r="AO250"/>
      <x:c r="AP250"/>
      <x:c r="AQ250"/>
      <x:c r="AR250"/>
      <x:c r="AS250">
        <x:f t="shared" si="17"/>
      </x:c>
      <x:c r="AT250"/>
      <x:c r="AU250"/>
      <x:c r="AV250"/>
      <x:c r="AW250"/>
      <x:c r="AX250"/>
      <x:c r="AY250"/>
      <x:c r="AZ250"/>
      <x:c r="BA250"/>
      <x:c r="BB250"/>
      <x:c r="BC250"/>
      <x:c r="BD250"/>
      <x:c r="BE250"/>
      <x:c r="BF250">
        <x:f t="shared" si="18"/>
      </x:c>
      <x:c r="BG250">
        <x:f t="shared" si="19"/>
      </x:c>
      <x:c r="BH250"/>
      <x:c r="BI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>
        <x:f t="shared" si="15"/>
      </x:c>
      <x:c r="T251">
        <x:f t="shared" si="16"/>
      </x:c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  <x:c r="AK251"/>
      <x:c r="AL251"/>
      <x:c r="AM251"/>
      <x:c r="AN251"/>
      <x:c r="AO251"/>
      <x:c r="AP251"/>
      <x:c r="AQ251"/>
      <x:c r="AR251"/>
      <x:c r="AS251">
        <x:f t="shared" si="17"/>
      </x:c>
      <x:c r="AT251"/>
      <x:c r="AU251"/>
      <x:c r="AV251"/>
      <x:c r="AW251"/>
      <x:c r="AX251"/>
      <x:c r="AY251"/>
      <x:c r="AZ251"/>
      <x:c r="BA251"/>
      <x:c r="BB251"/>
      <x:c r="BC251"/>
      <x:c r="BD251"/>
      <x:c r="BE251"/>
      <x:c r="BF251">
        <x:f t="shared" si="18"/>
      </x:c>
      <x:c r="BG251">
        <x:f t="shared" si="19"/>
      </x:c>
      <x:c r="BH251"/>
      <x:c r="BI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>
        <x:f t="shared" si="15"/>
      </x:c>
      <x:c r="T252">
        <x:f t="shared" si="16"/>
      </x:c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>
        <x:f t="shared" si="17"/>
      </x:c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>
        <x:f t="shared" si="18"/>
      </x:c>
      <x:c r="BG252">
        <x:f t="shared" si="19"/>
      </x:c>
      <x:c r="BH252"/>
      <x:c r="BI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>
        <x:f t="shared" si="15"/>
      </x:c>
      <x:c r="T253">
        <x:f t="shared" si="16"/>
      </x:c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>
        <x:f t="shared" si="17"/>
      </x:c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>
        <x:f t="shared" si="18"/>
      </x:c>
      <x:c r="BG253">
        <x:f t="shared" si="19"/>
      </x:c>
      <x:c r="BH253"/>
      <x:c r="BI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>
        <x:f t="shared" si="15"/>
      </x:c>
      <x:c r="T254">
        <x:f t="shared" si="16"/>
      </x:c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/>
      <x:c r="AN254"/>
      <x:c r="AO254"/>
      <x:c r="AP254"/>
      <x:c r="AQ254"/>
      <x:c r="AR254"/>
      <x:c r="AS254">
        <x:f t="shared" si="17"/>
      </x:c>
      <x:c r="AT254"/>
      <x:c r="AU254"/>
      <x:c r="AV254"/>
      <x:c r="AW254"/>
      <x:c r="AX254"/>
      <x:c r="AY254"/>
      <x:c r="AZ254"/>
      <x:c r="BA254"/>
      <x:c r="BB254"/>
      <x:c r="BC254"/>
      <x:c r="BD254"/>
      <x:c r="BE254"/>
      <x:c r="BF254">
        <x:f t="shared" si="18"/>
      </x:c>
      <x:c r="BG254">
        <x:f t="shared" si="19"/>
      </x:c>
      <x:c r="BH254"/>
      <x:c r="BI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>
        <x:f t="shared" si="15"/>
      </x:c>
      <x:c r="T255">
        <x:f t="shared" si="16"/>
      </x:c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>
        <x:f t="shared" si="17"/>
      </x:c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>
        <x:f t="shared" si="18"/>
      </x:c>
      <x:c r="BG255">
        <x:f t="shared" si="19"/>
      </x:c>
      <x:c r="BH255"/>
      <x:c r="BI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>
        <x:f t="shared" si="15"/>
      </x:c>
      <x:c r="T256">
        <x:f t="shared" si="16"/>
      </x:c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>
        <x:f t="shared" si="17"/>
      </x:c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>
        <x:f t="shared" si="18"/>
      </x:c>
      <x:c r="BG256">
        <x:f t="shared" si="19"/>
      </x:c>
      <x:c r="BH256"/>
      <x:c r="BI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>
        <x:f t="shared" si="15"/>
      </x:c>
      <x:c r="T257">
        <x:f t="shared" si="16"/>
      </x:c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/>
      <x:c r="AN257"/>
      <x:c r="AO257"/>
      <x:c r="AP257"/>
      <x:c r="AQ257"/>
      <x:c r="AR257"/>
      <x:c r="AS257">
        <x:f t="shared" si="17"/>
      </x:c>
      <x:c r="AT257"/>
      <x:c r="AU257"/>
      <x:c r="AV257"/>
      <x:c r="AW257"/>
      <x:c r="AX257"/>
      <x:c r="AY257"/>
      <x:c r="AZ257"/>
      <x:c r="BA257"/>
      <x:c r="BB257"/>
      <x:c r="BC257"/>
      <x:c r="BD257"/>
      <x:c r="BE257"/>
      <x:c r="BF257">
        <x:f t="shared" si="18"/>
      </x:c>
      <x:c r="BG257">
        <x:f t="shared" si="19"/>
      </x:c>
      <x:c r="BH257"/>
      <x:c r="BI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>
        <x:f t="shared" ref="S258:S278" si="20">O258*(R258-P258)/100</x:f>
      </x:c>
      <x:c r="T258">
        <x:f t="shared" ref="T258:T278" si="21">O258*(R258-IF(Q258="",P258,Q258))/100</x:f>
      </x:c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>
        <x:f t="shared" ref="AS258:AS278" si="22">IF(S258=0,100,IFERROR(AR258/S258*100,0))</x:f>
      </x:c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>
        <x:f t="shared" ref="BF258:BF278" si="23">IF(AK258="Completed","Yes","No")</x:f>
      </x:c>
      <x:c r="BG258">
        <x:f t="shared" ref="BG258:BG278" si="24">IF(AND(BE258="Yes",BF258="Yes"),"Yes","No")</x:f>
      </x:c>
      <x:c r="BH258"/>
      <x:c r="BI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>
        <x:f t="shared" si="20"/>
      </x:c>
      <x:c r="T259">
        <x:f t="shared" si="21"/>
      </x:c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  <x:c r="AK259"/>
      <x:c r="AL259"/>
      <x:c r="AM259"/>
      <x:c r="AN259"/>
      <x:c r="AO259"/>
      <x:c r="AP259"/>
      <x:c r="AQ259"/>
      <x:c r="AR259"/>
      <x:c r="AS259">
        <x:f t="shared" si="22"/>
      </x:c>
      <x:c r="AT259"/>
      <x:c r="AU259"/>
      <x:c r="AV259"/>
      <x:c r="AW259"/>
      <x:c r="AX259"/>
      <x:c r="AY259"/>
      <x:c r="AZ259"/>
      <x:c r="BA259"/>
      <x:c r="BB259"/>
      <x:c r="BC259"/>
      <x:c r="BD259"/>
      <x:c r="BE259"/>
      <x:c r="BF259">
        <x:f t="shared" si="23"/>
      </x:c>
      <x:c r="BG259">
        <x:f t="shared" si="24"/>
      </x:c>
      <x:c r="BH259"/>
      <x:c r="BI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>
        <x:f t="shared" si="20"/>
      </x:c>
      <x:c r="T260">
        <x:f t="shared" si="21"/>
      </x:c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  <x:c r="AK260"/>
      <x:c r="AL260"/>
      <x:c r="AM260"/>
      <x:c r="AN260"/>
      <x:c r="AO260"/>
      <x:c r="AP260"/>
      <x:c r="AQ260"/>
      <x:c r="AR260"/>
      <x:c r="AS260">
        <x:f t="shared" si="22"/>
      </x:c>
      <x:c r="AT260"/>
      <x:c r="AU260"/>
      <x:c r="AV260"/>
      <x:c r="AW260"/>
      <x:c r="AX260"/>
      <x:c r="AY260"/>
      <x:c r="AZ260"/>
      <x:c r="BA260"/>
      <x:c r="BB260"/>
      <x:c r="BC260"/>
      <x:c r="BD260"/>
      <x:c r="BE260"/>
      <x:c r="BF260">
        <x:f t="shared" si="23"/>
      </x:c>
      <x:c r="BG260">
        <x:f t="shared" si="24"/>
      </x:c>
      <x:c r="BH260"/>
      <x:c r="BI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>
        <x:f t="shared" si="20"/>
      </x:c>
      <x:c r="T261">
        <x:f t="shared" si="21"/>
      </x:c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  <x:c r="AK261"/>
      <x:c r="AL261"/>
      <x:c r="AM261"/>
      <x:c r="AN261"/>
      <x:c r="AO261"/>
      <x:c r="AP261"/>
      <x:c r="AQ261"/>
      <x:c r="AR261"/>
      <x:c r="AS261">
        <x:f t="shared" si="22"/>
      </x:c>
      <x:c r="AT261"/>
      <x:c r="AU261"/>
      <x:c r="AV261"/>
      <x:c r="AW261"/>
      <x:c r="AX261"/>
      <x:c r="AY261"/>
      <x:c r="AZ261"/>
      <x:c r="BA261"/>
      <x:c r="BB261"/>
      <x:c r="BC261"/>
      <x:c r="BD261"/>
      <x:c r="BE261"/>
      <x:c r="BF261">
        <x:f t="shared" si="23"/>
      </x:c>
      <x:c r="BG261">
        <x:f t="shared" si="24"/>
      </x:c>
      <x:c r="BH261"/>
      <x:c r="BI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>
        <x:f t="shared" si="20"/>
      </x:c>
      <x:c r="T262">
        <x:f t="shared" si="21"/>
      </x:c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  <x:c r="AI262"/>
      <x:c r="AJ262"/>
      <x:c r="AK262"/>
      <x:c r="AL262"/>
      <x:c r="AM262"/>
      <x:c r="AN262"/>
      <x:c r="AO262"/>
      <x:c r="AP262"/>
      <x:c r="AQ262"/>
      <x:c r="AR262"/>
      <x:c r="AS262">
        <x:f t="shared" si="22"/>
      </x:c>
      <x:c r="AT262"/>
      <x:c r="AU262"/>
      <x:c r="AV262"/>
      <x:c r="AW262"/>
      <x:c r="AX262"/>
      <x:c r="AY262"/>
      <x:c r="AZ262"/>
      <x:c r="BA262"/>
      <x:c r="BB262"/>
      <x:c r="BC262"/>
      <x:c r="BD262"/>
      <x:c r="BE262"/>
      <x:c r="BF262">
        <x:f t="shared" si="23"/>
      </x:c>
      <x:c r="BG262">
        <x:f t="shared" si="24"/>
      </x:c>
      <x:c r="BH262"/>
      <x:c r="BI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>
        <x:f t="shared" si="20"/>
      </x:c>
      <x:c r="T263">
        <x:f t="shared" si="21"/>
      </x:c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  <x:c r="AK263"/>
      <x:c r="AL263"/>
      <x:c r="AM263"/>
      <x:c r="AN263"/>
      <x:c r="AO263"/>
      <x:c r="AP263"/>
      <x:c r="AQ263"/>
      <x:c r="AR263"/>
      <x:c r="AS263">
        <x:f t="shared" si="22"/>
      </x:c>
      <x:c r="AT263"/>
      <x:c r="AU263"/>
      <x:c r="AV263"/>
      <x:c r="AW263"/>
      <x:c r="AX263"/>
      <x:c r="AY263"/>
      <x:c r="AZ263"/>
      <x:c r="BA263"/>
      <x:c r="BB263"/>
      <x:c r="BC263"/>
      <x:c r="BD263"/>
      <x:c r="BE263"/>
      <x:c r="BF263">
        <x:f t="shared" si="23"/>
      </x:c>
      <x:c r="BG263">
        <x:f t="shared" si="24"/>
      </x:c>
      <x:c r="BH263"/>
      <x:c r="BI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>
        <x:f t="shared" si="20"/>
      </x:c>
      <x:c r="T264">
        <x:f t="shared" si="21"/>
      </x:c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>
        <x:f t="shared" si="22"/>
      </x:c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>
        <x:f t="shared" si="23"/>
      </x:c>
      <x:c r="BG264">
        <x:f t="shared" si="24"/>
      </x:c>
      <x:c r="BH264"/>
      <x:c r="BI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>
        <x:f t="shared" si="20"/>
      </x:c>
      <x:c r="T265">
        <x:f t="shared" si="21"/>
      </x:c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  <x:c r="AK265"/>
      <x:c r="AL265"/>
      <x:c r="AM265"/>
      <x:c r="AN265"/>
      <x:c r="AO265"/>
      <x:c r="AP265"/>
      <x:c r="AQ265"/>
      <x:c r="AR265"/>
      <x:c r="AS265">
        <x:f t="shared" si="22"/>
      </x:c>
      <x:c r="AT265"/>
      <x:c r="AU265"/>
      <x:c r="AV265"/>
      <x:c r="AW265"/>
      <x:c r="AX265"/>
      <x:c r="AY265"/>
      <x:c r="AZ265"/>
      <x:c r="BA265"/>
      <x:c r="BB265"/>
      <x:c r="BC265"/>
      <x:c r="BD265"/>
      <x:c r="BE265"/>
      <x:c r="BF265">
        <x:f t="shared" si="23"/>
      </x:c>
      <x:c r="BG265">
        <x:f t="shared" si="24"/>
      </x:c>
      <x:c r="BH265"/>
      <x:c r="BI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>
        <x:f t="shared" si="20"/>
      </x:c>
      <x:c r="T266">
        <x:f t="shared" si="21"/>
      </x:c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>
        <x:f t="shared" si="22"/>
      </x:c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>
        <x:f t="shared" si="23"/>
      </x:c>
      <x:c r="BG266">
        <x:f t="shared" si="24"/>
      </x:c>
      <x:c r="BH266"/>
      <x:c r="BI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>
        <x:f t="shared" si="20"/>
      </x:c>
      <x:c r="T267">
        <x:f t="shared" si="21"/>
      </x:c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>
        <x:f t="shared" si="22"/>
      </x:c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>
        <x:f t="shared" si="23"/>
      </x:c>
      <x:c r="BG267">
        <x:f t="shared" si="24"/>
      </x:c>
      <x:c r="BH267"/>
      <x:c r="BI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>
        <x:f t="shared" si="20"/>
      </x:c>
      <x:c r="T268">
        <x:f t="shared" si="21"/>
      </x:c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>
        <x:f t="shared" si="22"/>
      </x:c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>
        <x:f t="shared" si="23"/>
      </x:c>
      <x:c r="BG268">
        <x:f t="shared" si="24"/>
      </x:c>
      <x:c r="BH268"/>
      <x:c r="BI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>
        <x:f t="shared" si="20"/>
      </x:c>
      <x:c r="T269">
        <x:f t="shared" si="21"/>
      </x:c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>
        <x:f t="shared" si="22"/>
      </x:c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>
        <x:f t="shared" si="23"/>
      </x:c>
      <x:c r="BG269">
        <x:f t="shared" si="24"/>
      </x:c>
      <x:c r="BH269"/>
      <x:c r="BI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>
        <x:f t="shared" si="20"/>
      </x:c>
      <x:c r="T270">
        <x:f t="shared" si="21"/>
      </x:c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>
        <x:f t="shared" si="22"/>
      </x:c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>
        <x:f t="shared" si="23"/>
      </x:c>
      <x:c r="BG270">
        <x:f t="shared" si="24"/>
      </x:c>
      <x:c r="BH270"/>
      <x:c r="BI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>
        <x:f t="shared" si="20"/>
      </x:c>
      <x:c r="T271">
        <x:f t="shared" si="21"/>
      </x:c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>
        <x:f t="shared" si="22"/>
      </x:c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>
        <x:f t="shared" si="23"/>
      </x:c>
      <x:c r="BG271">
        <x:f t="shared" si="24"/>
      </x:c>
      <x:c r="BH271"/>
      <x:c r="BI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>
        <x:f t="shared" si="20"/>
      </x:c>
      <x:c r="T272">
        <x:f t="shared" si="21"/>
      </x:c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>
        <x:f t="shared" si="22"/>
      </x:c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>
        <x:f t="shared" si="23"/>
      </x:c>
      <x:c r="BG272">
        <x:f t="shared" si="24"/>
      </x:c>
      <x:c r="BH272"/>
      <x:c r="BI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>
        <x:f t="shared" si="20"/>
      </x:c>
      <x:c r="T273">
        <x:f t="shared" si="21"/>
      </x:c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>
        <x:f t="shared" si="22"/>
      </x:c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>
        <x:f t="shared" si="23"/>
      </x:c>
      <x:c r="BG273">
        <x:f t="shared" si="24"/>
      </x:c>
      <x:c r="BH273"/>
      <x:c r="BI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>
        <x:f t="shared" si="20"/>
      </x:c>
      <x:c r="T274">
        <x:f t="shared" si="21"/>
      </x:c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>
        <x:f t="shared" si="22"/>
      </x:c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>
        <x:f t="shared" si="23"/>
      </x:c>
      <x:c r="BG274">
        <x:f t="shared" si="24"/>
      </x:c>
      <x:c r="BH274"/>
      <x:c r="BI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>
        <x:f t="shared" si="20"/>
      </x:c>
      <x:c r="T275">
        <x:f t="shared" si="21"/>
      </x:c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>
        <x:f t="shared" si="22"/>
      </x:c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>
        <x:f t="shared" si="23"/>
      </x:c>
      <x:c r="BG275">
        <x:f t="shared" si="24"/>
      </x:c>
      <x:c r="BH275"/>
      <x:c r="BI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>
        <x:f t="shared" si="20"/>
      </x:c>
      <x:c r="T276">
        <x:f t="shared" si="21"/>
      </x:c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>
        <x:f t="shared" si="22"/>
      </x:c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>
        <x:f t="shared" si="23"/>
      </x:c>
      <x:c r="BG276">
        <x:f t="shared" si="24"/>
      </x:c>
      <x:c r="BH276"/>
      <x:c r="BI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>
        <x:f t="shared" si="20"/>
      </x:c>
      <x:c r="T277">
        <x:f t="shared" si="21"/>
      </x:c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>
        <x:f t="shared" si="22"/>
      </x:c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>
        <x:f t="shared" si="23"/>
      </x:c>
      <x:c r="BG277">
        <x:f t="shared" si="24"/>
      </x:c>
      <x:c r="BH277"/>
      <x:c r="BI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>
        <x:f t="shared" si="20"/>
      </x:c>
      <x:c r="T278">
        <x:f t="shared" si="21"/>
      </x:c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/>
      <x:c r="AR278"/>
      <x:c r="AS278">
        <x:f t="shared" si="22"/>
      </x:c>
      <x:c r="AT278"/>
      <x:c r="AU278"/>
      <x:c r="AV278"/>
      <x:c r="AW278"/>
      <x:c r="AX278"/>
      <x:c r="AY278"/>
      <x:c r="AZ278"/>
      <x:c r="BA278"/>
      <x:c r="BB278"/>
      <x:c r="BC278"/>
      <x:c r="BD278"/>
      <x:c r="BE278"/>
      <x:c r="BF278">
        <x:f t="shared" si="23"/>
      </x:c>
      <x:c r="BG278">
        <x:f t="shared" si="24"/>
      </x:c>
      <x:c r="BH278"/>
      <x:c r="BI278"/>
    </x:row>
  </x:sheetData>
  <x:conditionalFormatting sqref="BE2:BG278">
    <x:cfRule type="expression" dxfId="1" priority="1">
      <x:formula>BE2="Yes"</x:formula>
    </x:cfRule>
    <x:cfRule type="expression" dxfId="0" priority="2">
      <x:formula>BE2="No"</x:formula>
    </x:cfRule>
  </x:conditionalFormatting>
  <x:pageMargins left="0.7" right="0.7" top="0.75" bottom="0.75" header="0.3" footer="0.3"/>
</x:worksheet>
</file>